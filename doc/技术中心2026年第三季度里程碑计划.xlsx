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workspace-ai\PMP\doc\"/>
    </mc:Choice>
  </mc:AlternateContent>
  <xr:revisionPtr revIDLastSave="0" documentId="13_ncr:1_{E0B2A605-1D03-428C-A9AD-21BCCEF5A453}" xr6:coauthVersionLast="47" xr6:coauthVersionMax="47" xr10:uidLastSave="{00000000-0000-0000-0000-000000000000}"/>
  <bookViews>
    <workbookView xWindow="-110" yWindow="-110" windowWidth="25820" windowHeight="15500" firstSheet="2" activeTab="4" xr2:uid="{00000000-000D-0000-FFFF-FFFF00000000}"/>
  </bookViews>
  <sheets>
    <sheet name="绩效考核评分表" sheetId="1" state="hidden" r:id="rId1"/>
    <sheet name="市场小组季度里程碑" sheetId="2" state="hidden" r:id="rId2"/>
    <sheet name="数字化建设组" sheetId="3" r:id="rId3"/>
    <sheet name="能源管理建设组" sheetId="4" r:id="rId4"/>
    <sheet name="制造业产品组" sheetId="5" r:id="rId5"/>
    <sheet name="平台建设组" sheetId="6" r:id="rId6"/>
    <sheet name="AI与数据资产组" sheetId="7" r:id="rId7"/>
    <sheet name="智能设备建设组"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2" i="1" l="1"/>
  <c r="I21" i="1"/>
  <c r="I20" i="1"/>
  <c r="I19" i="1"/>
  <c r="I18" i="1"/>
  <c r="I17" i="1"/>
  <c r="I13" i="1"/>
  <c r="F24" i="1" s="1"/>
  <c r="G24" i="1" s="1"/>
  <c r="I12" i="1"/>
  <c r="I11" i="1"/>
  <c r="I10" i="1"/>
  <c r="I9" i="1"/>
  <c r="I8" i="1"/>
</calcChain>
</file>

<file path=xl/sharedStrings.xml><?xml version="1.0" encoding="utf-8"?>
<sst xmlns="http://schemas.openxmlformats.org/spreadsheetml/2006/main" count="916" uniqueCount="466">
  <si>
    <t>技术中心矩阵化管理 — 季度绩效考核评分表</t>
  </si>
  <si>
    <t>被考核人</t>
  </si>
  <si>
    <t>产品线组</t>
  </si>
  <si>
    <t>市场组</t>
  </si>
  <si>
    <t>考核季度</t>
  </si>
  <si>
    <t>考核人</t>
  </si>
  <si>
    <t>考核维度</t>
  </si>
  <si>
    <t>考核指标</t>
  </si>
  <si>
    <t>权重</t>
  </si>
  <si>
    <t>行为锚点（评分说明）</t>
  </si>
  <si>
    <t>自评</t>
  </si>
  <si>
    <t>产品评</t>
  </si>
  <si>
    <t>市场参</t>
  </si>
  <si>
    <t>加权分</t>
  </si>
  <si>
    <t>优势</t>
  </si>
  <si>
    <t>改进</t>
  </si>
  <si>
    <t>交付能力</t>
  </si>
  <si>
    <t>需求交付完成率</t>
  </si>
  <si>
    <t>参考</t>
  </si>
  <si>
    <t>技术创新</t>
  </si>
  <si>
    <t>技术方案创新贡献</t>
  </si>
  <si>
    <t>协同能力</t>
  </si>
  <si>
    <t>跨组协同配合度</t>
  </si>
  <si>
    <t>知识沉淀</t>
  </si>
  <si>
    <t>文档与知识输出</t>
  </si>
  <si>
    <t>产品维度小计（按权重加总）</t>
  </si>
  <si>
    <t>产品参</t>
  </si>
  <si>
    <t>市场评</t>
  </si>
  <si>
    <t>转化能力</t>
  </si>
  <si>
    <t>技术方案转化成功率</t>
  </si>
  <si>
    <t>变现贡献</t>
  </si>
  <si>
    <t>产品商业变现支持</t>
  </si>
  <si>
    <t>行业拓展</t>
  </si>
  <si>
    <t>客户管理</t>
  </si>
  <si>
    <t>客户关系与满意度</t>
  </si>
  <si>
    <t>内部协同</t>
  </si>
  <si>
    <t>与产品线协作支撑</t>
  </si>
  <si>
    <t>市场维度小计（按权重加总）</t>
  </si>
  <si>
    <t>组长综合评语（必填）：</t>
  </si>
  <si>
    <t>被考核人签字：</t>
  </si>
  <si>
    <t>产品线组长签字：</t>
  </si>
  <si>
    <t>市场组长签字：</t>
  </si>
  <si>
    <t>日期：</t>
  </si>
  <si>
    <t>图例说明</t>
  </si>
  <si>
    <t>🔄进行中</t>
  </si>
  <si>
    <t>⏳未开始</t>
  </si>
  <si>
    <t>⚠️延期风险</t>
  </si>
  <si>
    <t>❌已延期</t>
  </si>
  <si>
    <t>⏸暂缓</t>
  </si>
  <si>
    <t>序</t>
  </si>
  <si>
    <t>目标域</t>
  </si>
  <si>
    <t>季度目标描述</t>
  </si>
  <si>
    <t>成功标准（可量化）</t>
  </si>
  <si>
    <t>季度目标值</t>
  </si>
  <si>
    <t>当前完成值</t>
  </si>
  <si>
    <t>季度状态</t>
  </si>
  <si>
    <t>负责组</t>
  </si>
  <si>
    <t>风险等级</t>
  </si>
  <si>
    <t>核心依赖</t>
  </si>
  <si>
    <t>备注</t>
  </si>
  <si>
    <t>业务转化</t>
  </si>
  <si>
    <t>能源管控组：完成季度技术方案转化目标</t>
  </si>
  <si>
    <t>技术方案→商业合同转化数量</t>
  </si>
  <si>
    <t>产品变现</t>
  </si>
  <si>
    <t>数字化转型组：推动数字化产品商业落地</t>
  </si>
  <si>
    <t>新行业客户接触并进入方案阶段</t>
  </si>
  <si>
    <t>客户满意</t>
  </si>
  <si>
    <t>维护存量客户关系，提升满意度</t>
  </si>
  <si>
    <t>产品线协同</t>
  </si>
  <si>
    <t>推动市场需求有效传递给产品线</t>
  </si>
  <si>
    <t>≥80%</t>
  </si>
  <si>
    <t>类型</t>
  </si>
  <si>
    <t>里程碑节点名称</t>
  </si>
  <si>
    <t>状态</t>
  </si>
  <si>
    <t>计划日期</t>
  </si>
  <si>
    <t>实际日期</t>
  </si>
  <si>
    <t>延迟天数</t>
  </si>
  <si>
    <t>W1</t>
  </si>
  <si>
    <t>W2</t>
  </si>
  <si>
    <t>W3</t>
  </si>
  <si>
    <t>W4</t>
  </si>
  <si>
    <t>W5</t>
  </si>
  <si>
    <t>W6</t>
  </si>
  <si>
    <t>W7</t>
  </si>
  <si>
    <t>W8</t>
  </si>
  <si>
    <t>W9</t>
  </si>
  <si>
    <t>W10</t>
  </si>
  <si>
    <t>W11</t>
  </si>
  <si>
    <t>W12</t>
  </si>
  <si>
    <t>M1</t>
  </si>
  <si>
    <t>交付里程碑</t>
  </si>
  <si>
    <t>█</t>
  </si>
  <si>
    <t>M2</t>
  </si>
  <si>
    <t>阶段评审</t>
  </si>
  <si>
    <t>M3</t>
  </si>
  <si>
    <t>客户节点</t>
  </si>
  <si>
    <t>M4</t>
  </si>
  <si>
    <t>数字化：数字化管理方案交付</t>
  </si>
  <si>
    <t>数字化转型解决方案文档，覆盖目标行业</t>
  </si>
  <si>
    <t>M5</t>
  </si>
  <si>
    <t>M6</t>
  </si>
  <si>
    <t>行业拓展：新行业调研报告</t>
  </si>
  <si>
    <t>M7</t>
  </si>
  <si>
    <t>M8</t>
  </si>
  <si>
    <t>M9</t>
  </si>
  <si>
    <t>季度关键客户满意度收集</t>
  </si>
  <si>
    <t>M10</t>
  </si>
  <si>
    <t>数字化：签约目标达成确认</t>
  </si>
  <si>
    <t>M11</t>
  </si>
  <si>
    <t>M12</t>
  </si>
  <si>
    <t>内部节点</t>
  </si>
  <si>
    <t>风险编号</t>
  </si>
  <si>
    <t>风险描述</t>
  </si>
  <si>
    <t>影响里程碑</t>
  </si>
  <si>
    <t>发生概率</t>
  </si>
  <si>
    <t>影响程度</t>
  </si>
  <si>
    <t>综合风险级</t>
  </si>
  <si>
    <t>触发条件</t>
  </si>
  <si>
    <t>应对策略</t>
  </si>
  <si>
    <t>责任小组</t>
  </si>
  <si>
    <t>预警时间</t>
  </si>
  <si>
    <t>当前状态</t>
  </si>
  <si>
    <t>R1</t>
  </si>
  <si>
    <t>关键客户决策周期拖延导致方案落地延期</t>
  </si>
  <si>
    <t>M3/M10</t>
  </si>
  <si>
    <t>中</t>
  </si>
  <si>
    <t>高</t>
  </si>
  <si>
    <t>客户两周未回复方案</t>
  </si>
  <si>
    <t>提前识别备选客户，并行推进</t>
  </si>
  <si>
    <t>市场小组</t>
  </si>
  <si>
    <t>⏳未触发</t>
  </si>
  <si>
    <t>R2</t>
  </si>
  <si>
    <t>产品线资源冲突导致技术方案支持不及时</t>
  </si>
  <si>
    <t>M2/M8</t>
  </si>
  <si>
    <t>启动市场插单申请流程</t>
  </si>
  <si>
    <t>任务提交当日</t>
  </si>
  <si>
    <t>R3</t>
  </si>
  <si>
    <t>竞争对手抢先签约目标客户</t>
  </si>
  <si>
    <t>M4/M10</t>
  </si>
  <si>
    <t>低</t>
  </si>
  <si>
    <t>客户询问竞品方案</t>
  </si>
  <si>
    <t>加速演示节奏，突出差异化优势</t>
  </si>
  <si>
    <t>季度初识别</t>
  </si>
  <si>
    <t>R4</t>
  </si>
  <si>
    <t>季度末冲刺导致方案质量下降</t>
  </si>
  <si>
    <t>月度复盘时触发预警，提前协调资源</t>
  </si>
  <si>
    <t>双线组长</t>
  </si>
  <si>
    <t>每月末</t>
  </si>
  <si>
    <t>版本: V1.0</t>
  </si>
  <si>
    <t>季度目标</t>
  </si>
  <si>
    <t>成功标准</t>
  </si>
  <si>
    <t>当前完成</t>
  </si>
  <si>
    <t>达成率</t>
  </si>
  <si>
    <t>关键依赖</t>
  </si>
  <si>
    <t>市场支持</t>
  </si>
  <si>
    <t>1、编写数字化管理系统核心业务功能模块介绍文档；
2、乌海市数字化转型入库产品资料编写
3、配合市场小组工作，解决方案等文档的编写与整理</t>
  </si>
  <si>
    <t>输出相关文档</t>
  </si>
  <si>
    <t>产品迭代</t>
  </si>
  <si>
    <t xml:space="preserve">
数字化管理系统v1.6.8
</t>
  </si>
  <si>
    <t>数字化管理系统工作台整体样式优化</t>
  </si>
  <si>
    <t xml:space="preserve">
数字化管理系统v1.6.8完成上线</t>
  </si>
  <si>
    <t>AI赋能</t>
  </si>
  <si>
    <t xml:space="preserve">
数字化管理系统-应用建设：日志管理（v1.3.4）</t>
  </si>
  <si>
    <t>1. 日志内容AI摘要
2. 周报、月报AI自动总结功能，输出风格个性化选择
3.日志增加已读未读标记</t>
  </si>
  <si>
    <t xml:space="preserve">
数字化管理系统-应用建设：日志管理（v1.3.4）完成上线</t>
  </si>
  <si>
    <t>数字化管理系统-消息（业务助手）（1.6.9）</t>
  </si>
  <si>
    <t>1.消息增加业务助手，可接收审批类消息通知
2.大陆通APP离线推送新增其他消息类型</t>
  </si>
  <si>
    <t>数字化管理系统-消息业务助手（1.6.9）完成上线</t>
  </si>
  <si>
    <t>数字化管理系统-应用建设：考勤管理（v1.2.0）</t>
  </si>
  <si>
    <t>1. 使用期间客户提出的问题以及需求；
2. 新用户无法调整班次的问题；
3. 新用户无法分配假期的问题；
4. 其它使用中的问题优化；</t>
  </si>
  <si>
    <t>数字化管理系统-应用建设：考勤管理（v1.2.0）完成上线</t>
  </si>
  <si>
    <t>运维稳定</t>
  </si>
  <si>
    <t>数字化管理系统稳定运行</t>
  </si>
  <si>
    <t>系统稳定性≥98%，及时响应已知问题</t>
  </si>
  <si>
    <t>概率</t>
  </si>
  <si>
    <t>影响</t>
  </si>
  <si>
    <t>综合级</t>
  </si>
  <si>
    <t>预警节点</t>
  </si>
  <si>
    <t>新的模块</t>
  </si>
  <si>
    <t>市场支撑</t>
  </si>
  <si>
    <t>1、售后管理模块V2.0.0
3、先捷产品功能优化需求V2.0.1（结合交付情况）</t>
  </si>
  <si>
    <t>1、完成售后管理模块的功能开发、测试，完成扫码页面与一码通的对接
2、根据实际交付情况完成先捷后续优化的功能
3、根据对标方案讨论落地具体应用模块</t>
  </si>
  <si>
    <t xml:space="preserve">
1、售后管理模块V2.0.0
2、先捷产品功能优化需求V2.0.1（结合交付情况）</t>
  </si>
  <si>
    <t xml:space="preserve">售后管理V2.0.0完成需求宣讲、研发工作
</t>
  </si>
  <si>
    <t>根据对标方案编写讨论情况落地应用模块</t>
  </si>
  <si>
    <t>/</t>
  </si>
  <si>
    <t>产品交付</t>
  </si>
  <si>
    <t>先捷动力产品交付</t>
  </si>
  <si>
    <t>产品部署、培训</t>
  </si>
  <si>
    <t>根据实际交付时间决定</t>
  </si>
  <si>
    <t>产品调研</t>
  </si>
  <si>
    <t>对标中小企业数字化转型测评指标完成现有产品的梳理、后续构建应用模块的规划可行性方案</t>
  </si>
  <si>
    <t>完成调研文档编写，计划本季度落地1-2个模块（优化/新增）</t>
  </si>
  <si>
    <t>产品/技术调研</t>
  </si>
  <si>
    <t>完成调研文档编写</t>
  </si>
  <si>
    <t>1、数字化管理系统相关模块稳定性维护
2、制造1.0系统稳定性维护</t>
  </si>
  <si>
    <t>保持系统运行的稳定性，实现问题的快速响应</t>
  </si>
  <si>
    <t>同季度目标</t>
  </si>
  <si>
    <t>1、支撑市场团队的解决方案编写等相关工作，例如：乌海项目及其他客户相关的工作支撑
2、烟台、东营数字化转型项目相关工作</t>
  </si>
  <si>
    <t>符合市场团队预期</t>
  </si>
  <si>
    <t>支撑乌海市、烟台数字化转型项目工作</t>
  </si>
  <si>
    <t>提交技术交底书</t>
  </si>
  <si>
    <t>专利技术交底书</t>
  </si>
  <si>
    <t>提交交底书</t>
  </si>
  <si>
    <t>协同AI组共同推动AI赋能制造产品工作</t>
  </si>
  <si>
    <t>结合方案汇报情况与工作排期推动功能落地</t>
  </si>
  <si>
    <t>先捷动力产品交付及后续功能优化</t>
  </si>
  <si>
    <t>全Sprint</t>
  </si>
  <si>
    <t>根据实际情况临时调整工作安排</t>
  </si>
  <si>
    <t>高优先级业务介入</t>
  </si>
  <si>
    <t>高优先级任务介入，需优先处理</t>
  </si>
  <si>
    <t>技术中心 ·  AI与数据资产组  季度里程碑计划表  |  覆盖产品：能源管理 / 能碳管理 / 节能监察 / 能源运维 / 计量运维</t>
  </si>
  <si>
    <t>产品线组: AI与数据资产组</t>
  </si>
  <si>
    <t>组长: 刘中志</t>
  </si>
  <si>
    <t>A  季度产品目标看板</t>
  </si>
  <si>
    <t>M1目标</t>
  </si>
  <si>
    <t>M1状态</t>
  </si>
  <si>
    <t>M2目标</t>
  </si>
  <si>
    <t>M2状态</t>
  </si>
  <si>
    <t>M3目标</t>
  </si>
  <si>
    <t>M3状态</t>
  </si>
  <si>
    <t>AI赋能-数字化系统-日志管理</t>
  </si>
  <si>
    <t>完成数字化系统与AI平台对接、日报总结模块、月报总结模块</t>
  </si>
  <si>
    <t xml:space="preserve">7月底完成上线
</t>
  </si>
  <si>
    <t>乌海数字化转型支持</t>
  </si>
  <si>
    <t>支持市场小组输出方案</t>
  </si>
  <si>
    <t>完成1项技术交底书</t>
  </si>
  <si>
    <t>上传知识库</t>
  </si>
  <si>
    <t>输出技术交底书1份</t>
  </si>
  <si>
    <t>输出技术交底书2份</t>
  </si>
  <si>
    <t>完成AI赋能产品线方案</t>
  </si>
  <si>
    <t>完成所有产品线的AI赋能方案并进行汇报</t>
  </si>
  <si>
    <t>完成平台组、智能设备组初步方案</t>
  </si>
  <si>
    <t>根据优先级完成项目推进</t>
  </si>
  <si>
    <t>完成数据集、数据产品的产品研发，提供服务能力</t>
  </si>
  <si>
    <t>数据产品登记服务中心</t>
  </si>
  <si>
    <t>完成上线，完成数据产品登记、赋码、证书生成、确权等功能，完成项目上线</t>
  </si>
  <si>
    <t>技术中心AI提效方案推进</t>
  </si>
  <si>
    <t>对产品、测试、前端、后端四个维度进行技术选型、预研、实施方案编写</t>
  </si>
  <si>
    <t>完成初版方案</t>
  </si>
  <si>
    <t>技术中心内部培训推广并收集反馈，优化方案</t>
  </si>
  <si>
    <t>组内AI人才技术能力提升</t>
  </si>
  <si>
    <t>python语言和LangGraph大模型技术框架，将学习记录进行总结，提高技术中心转型AI人才的技术储备</t>
  </si>
  <si>
    <t>掌握基础python语言和LangGraph框架逻辑，熟悉现有AI框架的代码</t>
  </si>
  <si>
    <t>参与AI项目的代码编写，转型成为AI开发工程师</t>
  </si>
  <si>
    <t>数据血缘管理方案</t>
  </si>
  <si>
    <t>完成数据血缘管理模块demo，将黑盒化的数据流转过程显性化，组织汇报并通过评审</t>
  </si>
  <si>
    <t>输出设计方案及数据血缘管理模块并通过汇报</t>
  </si>
  <si>
    <t>根据汇报情况修改优化模块</t>
  </si>
  <si>
    <t>将优化后的模块方案及demo进行汇报</t>
  </si>
  <si>
    <t>B  季度风险登记册</t>
  </si>
  <si>
    <t>设备监测控制中心v1.3.0版本</t>
  </si>
  <si>
    <t>1. 新增数据告警、过滤功能模块，完成数据告警、过滤的配置功能以及展示页面的开发；
2. 新增监控管理功能模块，完成摄像头设备的配置、采集与实时画面展示等功能开发；
3. 完成系统业务数据库迁移；
4. 完成已知问题优化；</t>
  </si>
  <si>
    <t>1. 完成相关功能技术预研和讨论，配合产品经理输出需求文档；
2. 完成业务数据库迁移以及已知问题修复，完成自测；</t>
  </si>
  <si>
    <t>1. 完成流媒体服务器搭建以及配置、测试（需协调借用园区监控）；
2. 完成数据告警、数据过滤、监控管理等页面以及后台接口开发与联调；
3. 完成规则链数据采集、数据过滤、数据推送（新增结合钉钉、企业微信等进行推送）等节点的开发与自测；</t>
  </si>
  <si>
    <t>1. 完成平台与流媒体服务器的对接测试；
2. 提交测试人员进行系统测试，修改测试问题；
3. 整理开发过程中相关文档，留存；更新产品帮助手册、白皮书、PPT；</t>
  </si>
  <si>
    <t>工云学堂v2.1.4版本</t>
  </si>
  <si>
    <t>根据市场需求结果进一步细化（1. 完善收账与清分流程；2. 增加线上开票流程功能）</t>
  </si>
  <si>
    <t>产品上线</t>
  </si>
  <si>
    <t>能碳管理中心</t>
  </si>
  <si>
    <t>能碳管理中心数据采集模块上线</t>
  </si>
  <si>
    <t>结合本组产品功能，配合AI建设组输出相关方案文档</t>
  </si>
  <si>
    <t>1. 输出设备监测控制中心AI赋能方案模块；
2. 输出工云学堂AI赋能方案模块；</t>
  </si>
  <si>
    <t>运维稳定/市场支撑</t>
  </si>
  <si>
    <t>1. 设备监测控制中心/智慧天车项目运维支撑；
2. 信源天车项目验收支撑；</t>
  </si>
  <si>
    <t>1. 保持系统可用率，实现问题快速响应；
2. 按需支持项目验收工作；</t>
  </si>
  <si>
    <t>工云学堂系统运维支撑</t>
  </si>
  <si>
    <t>保持系统可用率，实现问题快速响应</t>
  </si>
  <si>
    <t>乌海数字化转型诊断、青岛恒星项目、计量院项目等相关市场工作支撑</t>
  </si>
  <si>
    <t>按市场需要进行支撑，输出解决方案</t>
  </si>
  <si>
    <t>专利交底书编写</t>
  </si>
  <si>
    <t>输出一份专利交底书</t>
  </si>
  <si>
    <t>兼属成员工时冲突（产品经理：李婷婷、张路路；测试：任昊宇、高先泽）</t>
  </si>
  <si>
    <t>相关兼属成员无法按照本产品线计划节点完成响应任务</t>
  </si>
  <si>
    <t>冻结Sprint范围，变更进下期Backlog</t>
  </si>
  <si>
    <t>人员抽调或变动</t>
  </si>
  <si>
    <t>中途出现其它项目人员借调或者人员变动</t>
  </si>
  <si>
    <t>市场、产品需求不明确或有问题导致进度问题</t>
  </si>
  <si>
    <t>需求不明确或需求确认后变更</t>
  </si>
  <si>
    <t>根据市场组具体安排</t>
  </si>
  <si>
    <t>数据管理方案跟荆总汇报评审通过才能进行原型设计和功能开发</t>
  </si>
  <si>
    <t>AI赋能产品线方案通过评审完成优先级排列后进行产品设计和功能开发</t>
  </si>
  <si>
    <t>能源数据产品标准评审通过后，与平台组协调排期才能进行版本升级</t>
  </si>
  <si>
    <t>技术中心AI提效方案评审通过，相关预算申请通过才能进行试点和实施</t>
  </si>
  <si>
    <t>R5</t>
  </si>
  <si>
    <t>R6</t>
  </si>
  <si>
    <t>R7</t>
  </si>
  <si>
    <t>每个产品线赋能方案的实施难度和预算都是初步评估，具体推进工作要随深入研究才能确定</t>
  </si>
  <si>
    <t>根据公司战略决策进行评估，具体选择哪个产品线进行赋能</t>
  </si>
  <si>
    <t>数据资产运营平台方案</t>
  </si>
  <si>
    <t>数据资产运营平台方案为技术创新平台，需要深入研究相关知识与荆总意见达成一致才能继续推进</t>
  </si>
  <si>
    <t>学习相关技术，对方案进行优化，争取方案通过</t>
  </si>
  <si>
    <t>技术中心AI提效方案需要等待领导审批意见，根据意见进行推进</t>
  </si>
  <si>
    <t>方案评审不通过</t>
  </si>
  <si>
    <t>数据产品登记服务中心需要能源数据产品分类的标识编码标准通过且大陆通平台组工期进行协调才能进行项目开发</t>
  </si>
  <si>
    <t>1、标识编码标准不通过
2、平台组工期协调困难</t>
  </si>
  <si>
    <t>修改方案</t>
  </si>
  <si>
    <t xml:space="preserve">大陆通平台V1.10.9-平台资金账户
 </t>
  </si>
  <si>
    <t>运营中心新增平台账户模块，为运营方提供平台账户资金管理的统一视图</t>
  </si>
  <si>
    <t>测试通过并上线</t>
  </si>
  <si>
    <t>-</t>
  </si>
  <si>
    <t xml:space="preserve"> 新的模块</t>
  </si>
  <si>
    <t xml:space="preserve">大陆通平台V1.11.0-一码通售后管理
 </t>
  </si>
  <si>
    <t>一码通新增售后反馈模块</t>
  </si>
  <si>
    <t xml:space="preserve">大陆通平台V2.0.0-主要产品编码
 </t>
  </si>
  <si>
    <t>依据企业标准《标准文本-工业互联网标识解析 主要产品 标识编码》完成主要产品编码能力建设</t>
  </si>
  <si>
    <t>完成产品设计和代码编写</t>
  </si>
  <si>
    <t>大陆通平台V2.1.0-门户优化</t>
  </si>
  <si>
    <t>全面升级门户视觉与交互体验，精简核心业务入口，提升页面加载性能与用户体验</t>
  </si>
  <si>
    <t>大陆通平台平稳运行</t>
  </si>
  <si>
    <t>系统可用率≥99%</t>
  </si>
  <si>
    <t>平稳运行</t>
  </si>
  <si>
    <t>提交三份专利技术交底书</t>
  </si>
  <si>
    <t>提交两份技术交底书</t>
  </si>
  <si>
    <t>提交一份技术交底书</t>
  </si>
  <si>
    <t>能源数据编码标准确定，需要推进数据产品登记服务中心上线</t>
  </si>
  <si>
    <t>根据实际情况进行计划调整</t>
  </si>
  <si>
    <t xml:space="preserve"> 全Sprint</t>
  </si>
  <si>
    <t>AI与数据资产组-数据产品登记服务中心推动上线会影响现有工作计划</t>
  </si>
  <si>
    <t>产品升级</t>
  </si>
  <si>
    <t>能源管控中心</t>
  </si>
  <si>
    <t>1.太阳纸业能源管控中心V1.4.6（增加加分厂外网进电量监控数据大屏)
2.能源管控中心V1.8.7版本上线（移动端优化账号登录持续时长优化、通知消息优化等）</t>
  </si>
  <si>
    <t>完成太阳纸业能源管控中心V1.4.6研发、测试、上线</t>
  </si>
  <si>
    <t>能源管控中心V1.8.7版本研发测试上线</t>
  </si>
  <si>
    <t>能源智慧运维</t>
  </si>
  <si>
    <t>完成能源智慧运维V1.3.4版本上线（常见问题库、工单分配到人员、统计数据优化、故障确认自动生成工单）</t>
  </si>
  <si>
    <t>完成能源智慧运维V1.3.4产品设计工作</t>
  </si>
  <si>
    <t>完成能源智慧运维V1.3.4研发、测试、上线</t>
  </si>
  <si>
    <t>能碳管理中心建设</t>
  </si>
  <si>
    <t>1.完成碳排放核算模块工作，上线数字化管理系统应用
2.能碳管理中心专项服务设计</t>
  </si>
  <si>
    <t>完成碳排放核算模块版本开发、测试工作</t>
  </si>
  <si>
    <t>能源管理中心运维：太阳纸业、山东省计量院、东营科技学院等能源管控中心运维</t>
  </si>
  <si>
    <t>保持系统可用，问题快速响应解决</t>
  </si>
  <si>
    <t>解决客户反馈的问题</t>
  </si>
  <si>
    <t>计量运维：平度计量所、太阳纸业、梅兰德水厂</t>
  </si>
  <si>
    <t>乌海市数字化转型技术支撑、恒星科技学院绿色低碳校园建设技术支撑、山东省计量院课题联合申报</t>
  </si>
  <si>
    <t>配合市场完成销售工作</t>
  </si>
  <si>
    <t>输出解决方案</t>
  </si>
  <si>
    <t>配合市场完成方案改进</t>
  </si>
  <si>
    <t>未触发</t>
  </si>
  <si>
    <t>专项服务上线</t>
  </si>
  <si>
    <t>1.上线数字管理系统应用，
2.专项服务适配</t>
  </si>
  <si>
    <r>
      <rPr>
        <b/>
        <sz val="9"/>
        <color rgb="FFFFFF99"/>
        <rFont val="Noto Sans CJK SC"/>
        <family val="1"/>
      </rPr>
      <t>评分标准：</t>
    </r>
    <r>
      <rPr>
        <b/>
        <sz val="9"/>
        <color rgb="FFFFFF99"/>
        <rFont val="Arial"/>
        <family val="2"/>
      </rPr>
      <t>5=</t>
    </r>
    <r>
      <rPr>
        <b/>
        <sz val="9"/>
        <color rgb="FFFFFF99"/>
        <rFont val="Noto Sans CJK SC"/>
        <family val="1"/>
      </rPr>
      <t xml:space="preserve">超预期  </t>
    </r>
    <r>
      <rPr>
        <b/>
        <sz val="9"/>
        <color rgb="FFFFFF99"/>
        <rFont val="Arial"/>
        <family val="2"/>
      </rPr>
      <t>4=</t>
    </r>
    <r>
      <rPr>
        <b/>
        <sz val="9"/>
        <color rgb="FFFFFF99"/>
        <rFont val="Noto Sans CJK SC"/>
        <family val="1"/>
      </rPr>
      <t xml:space="preserve">达预期  </t>
    </r>
    <r>
      <rPr>
        <b/>
        <sz val="9"/>
        <color rgb="FFFFFF99"/>
        <rFont val="Arial"/>
        <family val="2"/>
      </rPr>
      <t>3=</t>
    </r>
    <r>
      <rPr>
        <b/>
        <sz val="9"/>
        <color rgb="FFFFFF99"/>
        <rFont val="Noto Sans CJK SC"/>
        <family val="1"/>
      </rPr>
      <t xml:space="preserve">基本达标  </t>
    </r>
    <r>
      <rPr>
        <b/>
        <sz val="9"/>
        <color rgb="FFFFFF99"/>
        <rFont val="Arial"/>
        <family val="2"/>
      </rPr>
      <t>2=</t>
    </r>
    <r>
      <rPr>
        <b/>
        <sz val="9"/>
        <color rgb="FFFFFF99"/>
        <rFont val="Noto Sans CJK SC"/>
        <family val="1"/>
      </rPr>
      <t xml:space="preserve">部分未达  </t>
    </r>
    <r>
      <rPr>
        <b/>
        <sz val="9"/>
        <color rgb="FFFFFF99"/>
        <rFont val="Arial"/>
        <family val="2"/>
      </rPr>
      <t>1=</t>
    </r>
    <r>
      <rPr>
        <b/>
        <sz val="9"/>
        <color rgb="FFFFFF99"/>
        <rFont val="Noto Sans CJK SC"/>
        <family val="1"/>
      </rPr>
      <t xml:space="preserve">未达标  </t>
    </r>
    <r>
      <rPr>
        <b/>
        <sz val="9"/>
        <color rgb="FFFFFF99"/>
        <rFont val="Arial"/>
        <family val="2"/>
      </rPr>
      <t xml:space="preserve">|  </t>
    </r>
    <r>
      <rPr>
        <b/>
        <sz val="9"/>
        <color rgb="FFFFFF99"/>
        <rFont val="Noto Sans CJK SC"/>
        <family val="1"/>
      </rPr>
      <t>黄色底色为员工自评，绿</t>
    </r>
    <r>
      <rPr>
        <b/>
        <sz val="9"/>
        <color rgb="FFFFFF99"/>
        <rFont val="Arial"/>
        <family val="2"/>
      </rPr>
      <t>/</t>
    </r>
    <r>
      <rPr>
        <b/>
        <sz val="9"/>
        <color rgb="FFFFFF99"/>
        <rFont val="Noto Sans CJK SC"/>
        <family val="1"/>
      </rPr>
      <t>蓝底为组长评分</t>
    </r>
  </si>
  <si>
    <r>
      <rPr>
        <b/>
        <sz val="11"/>
        <color rgb="FFFFFFFF"/>
        <rFont val="Noto Sans CJK SC"/>
        <family val="1"/>
      </rPr>
      <t xml:space="preserve">产品维度（权重 </t>
    </r>
    <r>
      <rPr>
        <b/>
        <sz val="11"/>
        <color rgb="FFFFFFFF"/>
        <rFont val="Arial"/>
        <family val="2"/>
      </rPr>
      <t>80%</t>
    </r>
    <r>
      <rPr>
        <b/>
        <sz val="11"/>
        <color rgb="FFFFFFFF"/>
        <rFont val="Noto Sans CJK SC"/>
        <family val="1"/>
      </rPr>
      <t>）— 产品线组长评价</t>
    </r>
  </si>
  <si>
    <r>
      <rPr>
        <sz val="10"/>
        <color rgb="FF000000"/>
        <rFont val="Arial"/>
        <family val="2"/>
      </rPr>
      <t>5:</t>
    </r>
    <r>
      <rPr>
        <sz val="10"/>
        <color rgb="FF000000"/>
        <rFont val="Noto Sans CJK SC"/>
        <family val="1"/>
      </rPr>
      <t>全部按时；</t>
    </r>
    <r>
      <rPr>
        <sz val="10"/>
        <color rgb="FF000000"/>
        <rFont val="Arial"/>
        <family val="2"/>
      </rPr>
      <t>4:≥85%</t>
    </r>
    <r>
      <rPr>
        <sz val="10"/>
        <color rgb="FF000000"/>
        <rFont val="Noto Sans CJK SC"/>
        <family val="1"/>
      </rPr>
      <t>；</t>
    </r>
    <r>
      <rPr>
        <sz val="10"/>
        <color rgb="FF000000"/>
        <rFont val="Arial"/>
        <family val="2"/>
      </rPr>
      <t>3:70-84%</t>
    </r>
    <r>
      <rPr>
        <sz val="10"/>
        <color rgb="FF000000"/>
        <rFont val="Noto Sans CJK SC"/>
        <family val="1"/>
      </rPr>
      <t>；</t>
    </r>
    <r>
      <rPr>
        <sz val="10"/>
        <color rgb="FF000000"/>
        <rFont val="Arial"/>
        <family val="2"/>
      </rPr>
      <t>2:50-69%</t>
    </r>
    <r>
      <rPr>
        <sz val="10"/>
        <color rgb="FF000000"/>
        <rFont val="Noto Sans CJK SC"/>
        <family val="1"/>
      </rPr>
      <t>；</t>
    </r>
    <r>
      <rPr>
        <sz val="10"/>
        <color rgb="FF000000"/>
        <rFont val="Arial"/>
        <family val="2"/>
      </rPr>
      <t>1:&lt;50%</t>
    </r>
  </si>
  <si>
    <r>
      <rPr>
        <b/>
        <sz val="10"/>
        <color rgb="FF000000"/>
        <rFont val="Noto Sans CJK SC"/>
        <family val="1"/>
      </rPr>
      <t>交付质量（</t>
    </r>
    <r>
      <rPr>
        <b/>
        <sz val="10"/>
        <color rgb="FF000000"/>
        <rFont val="Arial"/>
        <family val="2"/>
      </rPr>
      <t>Bug/</t>
    </r>
    <r>
      <rPr>
        <b/>
        <sz val="10"/>
        <color rgb="FF000000"/>
        <rFont val="Noto Sans CJK SC"/>
        <family val="1"/>
      </rPr>
      <t>返工）</t>
    </r>
  </si>
  <si>
    <r>
      <rPr>
        <sz val="10"/>
        <color rgb="FF000000"/>
        <rFont val="Arial"/>
        <family val="2"/>
      </rPr>
      <t>5:Bug</t>
    </r>
    <r>
      <rPr>
        <sz val="10"/>
        <color rgb="FF000000"/>
        <rFont val="Noto Sans CJK SC"/>
        <family val="1"/>
      </rPr>
      <t>回流</t>
    </r>
    <r>
      <rPr>
        <sz val="10"/>
        <color rgb="FF000000"/>
        <rFont val="Arial"/>
        <family val="2"/>
      </rPr>
      <t>&lt;2%</t>
    </r>
    <r>
      <rPr>
        <sz val="10"/>
        <color rgb="FF000000"/>
        <rFont val="Noto Sans CJK SC"/>
        <family val="1"/>
      </rPr>
      <t>；</t>
    </r>
    <r>
      <rPr>
        <sz val="10"/>
        <color rgb="FF000000"/>
        <rFont val="Arial"/>
        <family val="2"/>
      </rPr>
      <t>4:&lt;5%</t>
    </r>
    <r>
      <rPr>
        <sz val="10"/>
        <color rgb="FF000000"/>
        <rFont val="Noto Sans CJK SC"/>
        <family val="1"/>
      </rPr>
      <t>；</t>
    </r>
    <r>
      <rPr>
        <sz val="10"/>
        <color rgb="FF000000"/>
        <rFont val="Arial"/>
        <family val="2"/>
      </rPr>
      <t>3:&lt;10%</t>
    </r>
    <r>
      <rPr>
        <sz val="10"/>
        <color rgb="FF000000"/>
        <rFont val="Noto Sans CJK SC"/>
        <family val="1"/>
      </rPr>
      <t>；</t>
    </r>
    <r>
      <rPr>
        <sz val="10"/>
        <color rgb="FF000000"/>
        <rFont val="Arial"/>
        <family val="2"/>
      </rPr>
      <t>2:&lt;20%</t>
    </r>
    <r>
      <rPr>
        <sz val="10"/>
        <color rgb="FF000000"/>
        <rFont val="Noto Sans CJK SC"/>
        <family val="1"/>
      </rPr>
      <t>；</t>
    </r>
    <r>
      <rPr>
        <sz val="10"/>
        <color rgb="FF000000"/>
        <rFont val="Arial"/>
        <family val="2"/>
      </rPr>
      <t>1:≥20%</t>
    </r>
  </si>
  <si>
    <r>
      <rPr>
        <sz val="10"/>
        <color rgb="FF000000"/>
        <rFont val="Arial"/>
        <family val="2"/>
      </rPr>
      <t>5:</t>
    </r>
    <r>
      <rPr>
        <sz val="10"/>
        <color rgb="FF000000"/>
        <rFont val="Noto Sans CJK SC"/>
        <family val="1"/>
      </rPr>
      <t>主导创新落地；</t>
    </r>
    <r>
      <rPr>
        <sz val="10"/>
        <color rgb="FF000000"/>
        <rFont val="Arial"/>
        <family val="2"/>
      </rPr>
      <t>4:</t>
    </r>
    <r>
      <rPr>
        <sz val="10"/>
        <color rgb="FF000000"/>
        <rFont val="Noto Sans CJK SC"/>
        <family val="1"/>
      </rPr>
      <t>参与攻关；</t>
    </r>
    <r>
      <rPr>
        <sz val="10"/>
        <color rgb="FF000000"/>
        <rFont val="Arial"/>
        <family val="2"/>
      </rPr>
      <t>3:</t>
    </r>
    <r>
      <rPr>
        <sz val="10"/>
        <color rgb="FF000000"/>
        <rFont val="Noto Sans CJK SC"/>
        <family val="1"/>
      </rPr>
      <t>常规需求；</t>
    </r>
    <r>
      <rPr>
        <sz val="10"/>
        <color rgb="FF000000"/>
        <rFont val="Arial"/>
        <family val="2"/>
      </rPr>
      <t>2:</t>
    </r>
    <r>
      <rPr>
        <sz val="10"/>
        <color rgb="FF000000"/>
        <rFont val="Noto Sans CJK SC"/>
        <family val="1"/>
      </rPr>
      <t>被动接受；</t>
    </r>
    <r>
      <rPr>
        <sz val="10"/>
        <color rgb="FF000000"/>
        <rFont val="Arial"/>
        <family val="2"/>
      </rPr>
      <t>1:</t>
    </r>
    <r>
      <rPr>
        <sz val="10"/>
        <color rgb="FF000000"/>
        <rFont val="Noto Sans CJK SC"/>
        <family val="1"/>
      </rPr>
      <t>未完成</t>
    </r>
  </si>
  <si>
    <r>
      <rPr>
        <sz val="10"/>
        <color rgb="FF000000"/>
        <rFont val="Arial"/>
        <family val="2"/>
      </rPr>
      <t>5:</t>
    </r>
    <r>
      <rPr>
        <sz val="10"/>
        <color rgb="FF000000"/>
        <rFont val="Noto Sans CJK SC"/>
        <family val="1"/>
      </rPr>
      <t>主动跨组贡献；</t>
    </r>
    <r>
      <rPr>
        <sz val="10"/>
        <color rgb="FF000000"/>
        <rFont val="Arial"/>
        <family val="2"/>
      </rPr>
      <t>4:</t>
    </r>
    <r>
      <rPr>
        <sz val="10"/>
        <color rgb="FF000000"/>
        <rFont val="Noto Sans CJK SC"/>
        <family val="1"/>
      </rPr>
      <t>配合顺畅；</t>
    </r>
    <r>
      <rPr>
        <sz val="10"/>
        <color rgb="FF000000"/>
        <rFont val="Arial"/>
        <family val="2"/>
      </rPr>
      <t>3:</t>
    </r>
    <r>
      <rPr>
        <sz val="10"/>
        <color rgb="FF000000"/>
        <rFont val="Noto Sans CJK SC"/>
        <family val="1"/>
      </rPr>
      <t>基本配合；</t>
    </r>
    <r>
      <rPr>
        <sz val="10"/>
        <color rgb="FF000000"/>
        <rFont val="Arial"/>
        <family val="2"/>
      </rPr>
      <t>2:</t>
    </r>
    <r>
      <rPr>
        <sz val="10"/>
        <color rgb="FF000000"/>
        <rFont val="Noto Sans CJK SC"/>
        <family val="1"/>
      </rPr>
      <t>偶有摩擦；</t>
    </r>
    <r>
      <rPr>
        <sz val="10"/>
        <color rgb="FF000000"/>
        <rFont val="Arial"/>
        <family val="2"/>
      </rPr>
      <t>1:</t>
    </r>
    <r>
      <rPr>
        <sz val="10"/>
        <color rgb="FF000000"/>
        <rFont val="Noto Sans CJK SC"/>
        <family val="1"/>
      </rPr>
      <t>多次冲突</t>
    </r>
  </si>
  <si>
    <r>
      <rPr>
        <sz val="10"/>
        <color rgb="FF000000"/>
        <rFont val="Arial"/>
        <family val="2"/>
      </rPr>
      <t>5:≥4</t>
    </r>
    <r>
      <rPr>
        <sz val="10"/>
        <color rgb="FF000000"/>
        <rFont val="Noto Sans CJK SC"/>
        <family val="1"/>
      </rPr>
      <t>篇高质量文档；</t>
    </r>
    <r>
      <rPr>
        <sz val="10"/>
        <color rgb="FF000000"/>
        <rFont val="Arial"/>
        <family val="2"/>
      </rPr>
      <t>4:≥2</t>
    </r>
    <r>
      <rPr>
        <sz val="10"/>
        <color rgb="FF000000"/>
        <rFont val="Noto Sans CJK SC"/>
        <family val="1"/>
      </rPr>
      <t>篇；</t>
    </r>
    <r>
      <rPr>
        <sz val="10"/>
        <color rgb="FF000000"/>
        <rFont val="Arial"/>
        <family val="2"/>
      </rPr>
      <t>3:≥1</t>
    </r>
    <r>
      <rPr>
        <sz val="10"/>
        <color rgb="FF000000"/>
        <rFont val="Noto Sans CJK SC"/>
        <family val="1"/>
      </rPr>
      <t>篇；</t>
    </r>
    <r>
      <rPr>
        <sz val="10"/>
        <color rgb="FF000000"/>
        <rFont val="Arial"/>
        <family val="2"/>
      </rPr>
      <t>2:</t>
    </r>
    <r>
      <rPr>
        <sz val="10"/>
        <color rgb="FF000000"/>
        <rFont val="Noto Sans CJK SC"/>
        <family val="1"/>
      </rPr>
      <t>完成要求；</t>
    </r>
    <r>
      <rPr>
        <sz val="10"/>
        <color rgb="FF000000"/>
        <rFont val="Arial"/>
        <family val="2"/>
      </rPr>
      <t>1:</t>
    </r>
    <r>
      <rPr>
        <sz val="10"/>
        <color rgb="FF000000"/>
        <rFont val="Noto Sans CJK SC"/>
        <family val="1"/>
      </rPr>
      <t>无输出</t>
    </r>
  </si>
  <si>
    <r>
      <rPr>
        <b/>
        <sz val="11"/>
        <color rgb="FFFFFFFF"/>
        <rFont val="Noto Sans CJK SC"/>
        <family val="1"/>
      </rPr>
      <t xml:space="preserve">市场维度（权重 </t>
    </r>
    <r>
      <rPr>
        <b/>
        <sz val="11"/>
        <color rgb="FFFFFFFF"/>
        <rFont val="Arial"/>
        <family val="2"/>
      </rPr>
      <t>20%</t>
    </r>
    <r>
      <rPr>
        <b/>
        <sz val="11"/>
        <color rgb="FFFFFFFF"/>
        <rFont val="Noto Sans CJK SC"/>
        <family val="1"/>
      </rPr>
      <t>）— 市场组长评价</t>
    </r>
  </si>
  <si>
    <r>
      <rPr>
        <sz val="10"/>
        <color rgb="FF000000"/>
        <rFont val="Arial"/>
        <family val="2"/>
      </rPr>
      <t>5:≥3</t>
    </r>
    <r>
      <rPr>
        <sz val="10"/>
        <color rgb="FF000000"/>
        <rFont val="Noto Sans CJK SC"/>
        <family val="1"/>
      </rPr>
      <t>个落地；</t>
    </r>
    <r>
      <rPr>
        <sz val="10"/>
        <color rgb="FF000000"/>
        <rFont val="Arial"/>
        <family val="2"/>
      </rPr>
      <t>4:1-2</t>
    </r>
    <r>
      <rPr>
        <sz val="10"/>
        <color rgb="FF000000"/>
        <rFont val="Noto Sans CJK SC"/>
        <family val="1"/>
      </rPr>
      <t>个；</t>
    </r>
    <r>
      <rPr>
        <sz val="10"/>
        <color rgb="FF000000"/>
        <rFont val="Arial"/>
        <family val="2"/>
      </rPr>
      <t>3:</t>
    </r>
    <r>
      <rPr>
        <sz val="10"/>
        <color rgb="FF000000"/>
        <rFont val="Noto Sans CJK SC"/>
        <family val="1"/>
      </rPr>
      <t>参与支撑；</t>
    </r>
    <r>
      <rPr>
        <sz val="10"/>
        <color rgb="FF000000"/>
        <rFont val="Arial"/>
        <family val="2"/>
      </rPr>
      <t>2:</t>
    </r>
    <r>
      <rPr>
        <sz val="10"/>
        <color rgb="FF000000"/>
        <rFont val="Noto Sans CJK SC"/>
        <family val="1"/>
      </rPr>
      <t>初步接触；</t>
    </r>
    <r>
      <rPr>
        <sz val="10"/>
        <color rgb="FF000000"/>
        <rFont val="Arial"/>
        <family val="2"/>
      </rPr>
      <t>1:</t>
    </r>
    <r>
      <rPr>
        <sz val="10"/>
        <color rgb="FF000000"/>
        <rFont val="Noto Sans CJK SC"/>
        <family val="1"/>
      </rPr>
      <t>无贡献</t>
    </r>
  </si>
  <si>
    <r>
      <rPr>
        <sz val="10"/>
        <color rgb="FF000000"/>
        <rFont val="Arial"/>
        <family val="2"/>
      </rPr>
      <t>5:</t>
    </r>
    <r>
      <rPr>
        <sz val="10"/>
        <color rgb="FF000000"/>
        <rFont val="Noto Sans CJK SC"/>
        <family val="1"/>
      </rPr>
      <t>直接带来合同；</t>
    </r>
    <r>
      <rPr>
        <sz val="10"/>
        <color rgb="FF000000"/>
        <rFont val="Arial"/>
        <family val="2"/>
      </rPr>
      <t>4:</t>
    </r>
    <r>
      <rPr>
        <sz val="10"/>
        <color rgb="FF000000"/>
        <rFont val="Noto Sans CJK SC"/>
        <family val="1"/>
      </rPr>
      <t>明显推动；</t>
    </r>
    <r>
      <rPr>
        <sz val="10"/>
        <color rgb="FF000000"/>
        <rFont val="Arial"/>
        <family val="2"/>
      </rPr>
      <t>3:</t>
    </r>
    <r>
      <rPr>
        <sz val="10"/>
        <color rgb="FF000000"/>
        <rFont val="Noto Sans CJK SC"/>
        <family val="1"/>
      </rPr>
      <t>一般支持；</t>
    </r>
    <r>
      <rPr>
        <sz val="10"/>
        <color rgb="FF000000"/>
        <rFont val="Arial"/>
        <family val="2"/>
      </rPr>
      <t>2:</t>
    </r>
    <r>
      <rPr>
        <sz val="10"/>
        <color rgb="FF000000"/>
        <rFont val="Noto Sans CJK SC"/>
        <family val="1"/>
      </rPr>
      <t>边缘参与；</t>
    </r>
    <r>
      <rPr>
        <sz val="10"/>
        <color rgb="FF000000"/>
        <rFont val="Arial"/>
        <family val="2"/>
      </rPr>
      <t>1:</t>
    </r>
    <r>
      <rPr>
        <sz val="10"/>
        <color rgb="FF000000"/>
        <rFont val="Noto Sans CJK SC"/>
        <family val="1"/>
      </rPr>
      <t>无</t>
    </r>
  </si>
  <si>
    <r>
      <rPr>
        <b/>
        <sz val="10"/>
        <color rgb="FF000000"/>
        <rFont val="Noto Sans CJK SC"/>
        <family val="1"/>
      </rPr>
      <t>新市场</t>
    </r>
    <r>
      <rPr>
        <b/>
        <sz val="10"/>
        <color rgb="FF000000"/>
        <rFont val="Arial"/>
        <family val="2"/>
      </rPr>
      <t>/</t>
    </r>
    <r>
      <rPr>
        <b/>
        <sz val="10"/>
        <color rgb="FF000000"/>
        <rFont val="Noto Sans CJK SC"/>
        <family val="1"/>
      </rPr>
      <t>新客户开拓</t>
    </r>
  </si>
  <si>
    <r>
      <rPr>
        <sz val="10"/>
        <color rgb="FF000000"/>
        <rFont val="Arial"/>
        <family val="2"/>
      </rPr>
      <t>5:</t>
    </r>
    <r>
      <rPr>
        <sz val="10"/>
        <color rgb="FF000000"/>
        <rFont val="Noto Sans CJK SC"/>
        <family val="1"/>
      </rPr>
      <t>拓展≥</t>
    </r>
    <r>
      <rPr>
        <sz val="10"/>
        <color rgb="FF000000"/>
        <rFont val="Arial"/>
        <family val="2"/>
      </rPr>
      <t>2</t>
    </r>
    <r>
      <rPr>
        <sz val="10"/>
        <color rgb="FF000000"/>
        <rFont val="Noto Sans CJK SC"/>
        <family val="1"/>
      </rPr>
      <t>个；</t>
    </r>
    <r>
      <rPr>
        <sz val="10"/>
        <color rgb="FF000000"/>
        <rFont val="Arial"/>
        <family val="2"/>
      </rPr>
      <t>4:1</t>
    </r>
    <r>
      <rPr>
        <sz val="10"/>
        <color rgb="FF000000"/>
        <rFont val="Noto Sans CJK SC"/>
        <family val="1"/>
      </rPr>
      <t>个；</t>
    </r>
    <r>
      <rPr>
        <sz val="10"/>
        <color rgb="FF000000"/>
        <rFont val="Arial"/>
        <family val="2"/>
      </rPr>
      <t>3:</t>
    </r>
    <r>
      <rPr>
        <sz val="10"/>
        <color rgb="FF000000"/>
        <rFont val="Noto Sans CJK SC"/>
        <family val="1"/>
      </rPr>
      <t>有实质接触；</t>
    </r>
    <r>
      <rPr>
        <sz val="10"/>
        <color rgb="FF000000"/>
        <rFont val="Arial"/>
        <family val="2"/>
      </rPr>
      <t>2:</t>
    </r>
    <r>
      <rPr>
        <sz val="10"/>
        <color rgb="FF000000"/>
        <rFont val="Noto Sans CJK SC"/>
        <family val="1"/>
      </rPr>
      <t>仅调研；</t>
    </r>
    <r>
      <rPr>
        <sz val="10"/>
        <color rgb="FF000000"/>
        <rFont val="Arial"/>
        <family val="2"/>
      </rPr>
      <t>1:</t>
    </r>
    <r>
      <rPr>
        <sz val="10"/>
        <color rgb="FF000000"/>
        <rFont val="Noto Sans CJK SC"/>
        <family val="1"/>
      </rPr>
      <t>无</t>
    </r>
  </si>
  <si>
    <r>
      <rPr>
        <sz val="10"/>
        <color rgb="FF000000"/>
        <rFont val="Arial"/>
        <family val="2"/>
      </rPr>
      <t>5:</t>
    </r>
    <r>
      <rPr>
        <sz val="10"/>
        <color rgb="FF000000"/>
        <rFont val="Noto Sans CJK SC"/>
        <family val="1"/>
      </rPr>
      <t>客户主动好评；</t>
    </r>
    <r>
      <rPr>
        <sz val="10"/>
        <color rgb="FF000000"/>
        <rFont val="Arial"/>
        <family val="2"/>
      </rPr>
      <t>4:</t>
    </r>
    <r>
      <rPr>
        <sz val="10"/>
        <color rgb="FF000000"/>
        <rFont val="Noto Sans CJK SC"/>
        <family val="1"/>
      </rPr>
      <t>满意；</t>
    </r>
    <r>
      <rPr>
        <sz val="10"/>
        <color rgb="FF000000"/>
        <rFont val="Arial"/>
        <family val="2"/>
      </rPr>
      <t>3:</t>
    </r>
    <r>
      <rPr>
        <sz val="10"/>
        <color rgb="FF000000"/>
        <rFont val="Noto Sans CJK SC"/>
        <family val="1"/>
      </rPr>
      <t>无投诉；</t>
    </r>
    <r>
      <rPr>
        <sz val="10"/>
        <color rgb="FF000000"/>
        <rFont val="Arial"/>
        <family val="2"/>
      </rPr>
      <t>2:</t>
    </r>
    <r>
      <rPr>
        <sz val="10"/>
        <color rgb="FF000000"/>
        <rFont val="Noto Sans CJK SC"/>
        <family val="1"/>
      </rPr>
      <t>有投诉已处理；</t>
    </r>
    <r>
      <rPr>
        <sz val="10"/>
        <color rgb="FF000000"/>
        <rFont val="Arial"/>
        <family val="2"/>
      </rPr>
      <t>1:</t>
    </r>
    <r>
      <rPr>
        <sz val="10"/>
        <color rgb="FF000000"/>
        <rFont val="Noto Sans CJK SC"/>
        <family val="1"/>
      </rPr>
      <t>有未处理</t>
    </r>
  </si>
  <si>
    <r>
      <rPr>
        <sz val="10"/>
        <color rgb="FF000000"/>
        <rFont val="Arial"/>
        <family val="2"/>
      </rPr>
      <t>5:</t>
    </r>
    <r>
      <rPr>
        <sz val="10"/>
        <color rgb="FF000000"/>
        <rFont val="Noto Sans CJK SC"/>
        <family val="1"/>
      </rPr>
      <t>主动推动跨线；</t>
    </r>
    <r>
      <rPr>
        <sz val="10"/>
        <color rgb="FF000000"/>
        <rFont val="Arial"/>
        <family val="2"/>
      </rPr>
      <t>4:</t>
    </r>
    <r>
      <rPr>
        <sz val="10"/>
        <color rgb="FF000000"/>
        <rFont val="Noto Sans CJK SC"/>
        <family val="1"/>
      </rPr>
      <t>积极配合；</t>
    </r>
    <r>
      <rPr>
        <sz val="10"/>
        <color rgb="FF000000"/>
        <rFont val="Arial"/>
        <family val="2"/>
      </rPr>
      <t>3:</t>
    </r>
    <r>
      <rPr>
        <sz val="10"/>
        <color rgb="FF000000"/>
        <rFont val="Noto Sans CJK SC"/>
        <family val="1"/>
      </rPr>
      <t>基本配合；</t>
    </r>
    <r>
      <rPr>
        <sz val="10"/>
        <color rgb="FF000000"/>
        <rFont val="Arial"/>
        <family val="2"/>
      </rPr>
      <t>2:</t>
    </r>
    <r>
      <rPr>
        <sz val="10"/>
        <color rgb="FF000000"/>
        <rFont val="Noto Sans CJK SC"/>
        <family val="1"/>
      </rPr>
      <t>偶有延迟；</t>
    </r>
    <r>
      <rPr>
        <sz val="10"/>
        <color rgb="FF000000"/>
        <rFont val="Arial"/>
        <family val="2"/>
      </rPr>
      <t>1:</t>
    </r>
    <r>
      <rPr>
        <sz val="10"/>
        <color rgb="FF000000"/>
        <rFont val="Noto Sans CJK SC"/>
        <family val="1"/>
      </rPr>
      <t>常脱节</t>
    </r>
  </si>
  <si>
    <r>
      <rPr>
        <b/>
        <sz val="11"/>
        <color rgb="FFFFFFFF"/>
        <rFont val="Noto Sans CJK SC"/>
        <family val="1"/>
      </rPr>
      <t xml:space="preserve">综合得分  </t>
    </r>
    <r>
      <rPr>
        <b/>
        <sz val="11"/>
        <color rgb="FFFFFFFF"/>
        <rFont val="Arial"/>
        <family val="2"/>
      </rPr>
      <t xml:space="preserve">=  </t>
    </r>
    <r>
      <rPr>
        <b/>
        <sz val="11"/>
        <color rgb="FFFFFFFF"/>
        <rFont val="Noto Sans CJK SC"/>
        <family val="1"/>
      </rPr>
      <t xml:space="preserve">产品小计 </t>
    </r>
    <r>
      <rPr>
        <b/>
        <sz val="11"/>
        <color rgb="FFFFFFFF"/>
        <rFont val="Arial"/>
        <family val="2"/>
      </rPr>
      <t xml:space="preserve">× 60%  +  </t>
    </r>
    <r>
      <rPr>
        <b/>
        <sz val="11"/>
        <color rgb="FFFFFFFF"/>
        <rFont val="Noto Sans CJK SC"/>
        <family val="1"/>
      </rPr>
      <t xml:space="preserve">市场小计 </t>
    </r>
    <r>
      <rPr>
        <b/>
        <sz val="11"/>
        <color rgb="FFFFFFFF"/>
        <rFont val="Arial"/>
        <family val="2"/>
      </rPr>
      <t>× 40%</t>
    </r>
  </si>
  <si>
    <r>
      <rPr>
        <sz val="9"/>
        <color rgb="FF000000"/>
        <rFont val="Noto Sans CJK SC"/>
        <family val="1"/>
      </rPr>
      <t>等级说明：</t>
    </r>
    <r>
      <rPr>
        <sz val="9"/>
        <color rgb="FF000000"/>
        <rFont val="Arial"/>
        <family val="2"/>
      </rPr>
      <t>S≥4.5  A≥3.5  B≥2.5  C≥1.5  D&lt;1.5</t>
    </r>
  </si>
  <si>
    <r>
      <rPr>
        <b/>
        <sz val="14"/>
        <color rgb="FFFFFFFF"/>
        <rFont val="Noto Sans CJK SC"/>
        <family val="1"/>
      </rPr>
      <t xml:space="preserve">技术中心 </t>
    </r>
    <r>
      <rPr>
        <b/>
        <sz val="14"/>
        <color rgb="FFFFFFFF"/>
        <rFont val="Arial"/>
        <family val="2"/>
      </rPr>
      <t xml:space="preserve">· </t>
    </r>
    <r>
      <rPr>
        <b/>
        <sz val="14"/>
        <color rgb="FFFFFFFF"/>
        <rFont val="Noto Sans CJK SC"/>
        <family val="1"/>
      </rPr>
      <t>市场小组  季度里程碑计划表</t>
    </r>
  </si>
  <si>
    <r>
      <rPr>
        <sz val="9"/>
        <color rgb="FF000000"/>
        <rFont val="Noto Sans CJK SC"/>
        <family val="1"/>
      </rPr>
      <t>季度</t>
    </r>
    <r>
      <rPr>
        <sz val="9"/>
        <color rgb="FF000000"/>
        <rFont val="Arial"/>
        <family val="2"/>
      </rPr>
      <t>: Q3 (2025</t>
    </r>
    <r>
      <rPr>
        <sz val="9"/>
        <color rgb="FF000000"/>
        <rFont val="Noto Sans CJK SC"/>
        <family val="1"/>
      </rPr>
      <t>年</t>
    </r>
    <r>
      <rPr>
        <sz val="9"/>
        <color rgb="FF000000"/>
        <rFont val="Arial"/>
        <family val="2"/>
      </rPr>
      <t>7-9</t>
    </r>
    <r>
      <rPr>
        <sz val="9"/>
        <color rgb="FF000000"/>
        <rFont val="Noto Sans CJK SC"/>
        <family val="1"/>
      </rPr>
      <t>月</t>
    </r>
    <r>
      <rPr>
        <sz val="9"/>
        <color rgb="FF000000"/>
        <rFont val="Arial"/>
        <family val="2"/>
      </rPr>
      <t>)</t>
    </r>
  </si>
  <si>
    <r>
      <rPr>
        <sz val="9"/>
        <color rgb="FF000000"/>
        <rFont val="Noto Sans CJK SC"/>
        <family val="1"/>
      </rPr>
      <t>市场小组</t>
    </r>
    <r>
      <rPr>
        <sz val="9"/>
        <color rgb="FF000000"/>
        <rFont val="Arial"/>
        <family val="2"/>
      </rPr>
      <t xml:space="preserve">: </t>
    </r>
    <r>
      <rPr>
        <sz val="9"/>
        <color rgb="FF000000"/>
        <rFont val="Noto Sans CJK SC"/>
        <family val="1"/>
      </rPr>
      <t xml:space="preserve">能源管控组 </t>
    </r>
    <r>
      <rPr>
        <sz val="9"/>
        <color rgb="FF000000"/>
        <rFont val="Arial"/>
        <family val="2"/>
      </rPr>
      <t xml:space="preserve">/ </t>
    </r>
    <r>
      <rPr>
        <sz val="9"/>
        <color rgb="FF000000"/>
        <rFont val="Noto Sans CJK SC"/>
        <family val="1"/>
      </rPr>
      <t>数字化转型组</t>
    </r>
  </si>
  <si>
    <r>
      <rPr>
        <sz val="9"/>
        <color rgb="FF000000"/>
        <rFont val="Noto Sans CJK SC"/>
        <family val="1"/>
      </rPr>
      <t>组长</t>
    </r>
    <r>
      <rPr>
        <sz val="9"/>
        <color rgb="FF000000"/>
        <rFont val="Arial"/>
        <family val="2"/>
      </rPr>
      <t xml:space="preserve">: </t>
    </r>
    <r>
      <rPr>
        <sz val="9"/>
        <color rgb="FF000000"/>
        <rFont val="Noto Sans CJK SC"/>
        <family val="1"/>
      </rPr>
      <t xml:space="preserve">苏鹏 </t>
    </r>
    <r>
      <rPr>
        <sz val="9"/>
        <color rgb="FF000000"/>
        <rFont val="Arial"/>
        <family val="2"/>
      </rPr>
      <t xml:space="preserve">/ </t>
    </r>
    <r>
      <rPr>
        <sz val="9"/>
        <color rgb="FF000000"/>
        <rFont val="Noto Sans CJK SC"/>
        <family val="1"/>
      </rPr>
      <t>张珊珊</t>
    </r>
  </si>
  <si>
    <r>
      <rPr>
        <sz val="9"/>
        <color rgb="FF000000"/>
        <rFont val="Noto Sans CJK SC"/>
        <family val="1"/>
      </rPr>
      <t>制表日期</t>
    </r>
    <r>
      <rPr>
        <sz val="9"/>
        <color rgb="FF000000"/>
        <rFont val="Arial"/>
        <family val="2"/>
      </rPr>
      <t>:</t>
    </r>
  </si>
  <si>
    <r>
      <rPr>
        <sz val="9"/>
        <color rgb="FF000000"/>
        <rFont val="Noto Sans CJK SC"/>
        <family val="1"/>
      </rPr>
      <t>版本</t>
    </r>
    <r>
      <rPr>
        <sz val="9"/>
        <color rgb="FF000000"/>
        <rFont val="Arial"/>
        <family val="2"/>
      </rPr>
      <t>: V1.0</t>
    </r>
  </si>
  <si>
    <r>
      <rPr>
        <b/>
        <sz val="9"/>
        <color rgb="FFFFFFFF"/>
        <rFont val="Apple Color Emoji"/>
      </rPr>
      <t>✅</t>
    </r>
    <r>
      <rPr>
        <b/>
        <sz val="9"/>
        <color rgb="FFFFFFFF"/>
        <rFont val="Noto Sans CJK SC"/>
        <family val="1"/>
      </rPr>
      <t>已完成</t>
    </r>
  </si>
  <si>
    <r>
      <rPr>
        <b/>
        <sz val="13"/>
        <color rgb="FFFFFFFF"/>
        <rFont val="Arial"/>
        <family val="2"/>
      </rPr>
      <t xml:space="preserve">A  </t>
    </r>
    <r>
      <rPr>
        <b/>
        <sz val="13"/>
        <color rgb="FFFFFFFF"/>
        <rFont val="Noto Sans CJK SC"/>
        <family val="1"/>
      </rPr>
      <t>季度战略目标看板</t>
    </r>
  </si>
  <si>
    <r>
      <rPr>
        <b/>
        <sz val="9"/>
        <color rgb="FFFFFFFF"/>
        <rFont val="Arial"/>
        <family val="2"/>
      </rPr>
      <t>M1</t>
    </r>
    <r>
      <rPr>
        <b/>
        <sz val="9"/>
        <color rgb="FFFFFFFF"/>
        <rFont val="Noto Sans CJK SC"/>
        <family val="1"/>
      </rPr>
      <t>目标值</t>
    </r>
  </si>
  <si>
    <r>
      <rPr>
        <b/>
        <sz val="9"/>
        <color rgb="FFFFFFFF"/>
        <rFont val="Arial"/>
        <family val="2"/>
      </rPr>
      <t>M1</t>
    </r>
    <r>
      <rPr>
        <b/>
        <sz val="9"/>
        <color rgb="FFFFFFFF"/>
        <rFont val="Noto Sans CJK SC"/>
        <family val="1"/>
      </rPr>
      <t>状态</t>
    </r>
  </si>
  <si>
    <r>
      <rPr>
        <b/>
        <sz val="9"/>
        <color rgb="FFFFFFFF"/>
        <rFont val="Arial"/>
        <family val="2"/>
      </rPr>
      <t>M2</t>
    </r>
    <r>
      <rPr>
        <b/>
        <sz val="9"/>
        <color rgb="FFFFFFFF"/>
        <rFont val="Noto Sans CJK SC"/>
        <family val="1"/>
      </rPr>
      <t>目标值</t>
    </r>
  </si>
  <si>
    <r>
      <rPr>
        <b/>
        <sz val="9"/>
        <color rgb="FFFFFFFF"/>
        <rFont val="Arial"/>
        <family val="2"/>
      </rPr>
      <t>M2</t>
    </r>
    <r>
      <rPr>
        <b/>
        <sz val="9"/>
        <color rgb="FFFFFFFF"/>
        <rFont val="Noto Sans CJK SC"/>
        <family val="1"/>
      </rPr>
      <t>状态</t>
    </r>
  </si>
  <si>
    <r>
      <rPr>
        <b/>
        <sz val="9"/>
        <color rgb="FFFFFFFF"/>
        <rFont val="Arial"/>
        <family val="2"/>
      </rPr>
      <t>M3</t>
    </r>
    <r>
      <rPr>
        <b/>
        <sz val="9"/>
        <color rgb="FFFFFFFF"/>
        <rFont val="Noto Sans CJK SC"/>
        <family val="1"/>
      </rPr>
      <t>目标值</t>
    </r>
  </si>
  <si>
    <r>
      <rPr>
        <b/>
        <sz val="9"/>
        <color rgb="FFFFFFFF"/>
        <rFont val="Arial"/>
        <family val="2"/>
      </rPr>
      <t>M3</t>
    </r>
    <r>
      <rPr>
        <b/>
        <sz val="9"/>
        <color rgb="FFFFFFFF"/>
        <rFont val="Noto Sans CJK SC"/>
        <family val="1"/>
      </rPr>
      <t>状态</t>
    </r>
  </si>
  <si>
    <r>
      <rPr>
        <b/>
        <sz val="9"/>
        <color rgb="FFFFFFFF"/>
        <rFont val="Noto Sans CJK SC"/>
        <family val="1"/>
      </rPr>
      <t>达成率</t>
    </r>
    <r>
      <rPr>
        <b/>
        <sz val="9"/>
        <color rgb="FFFFFFFF"/>
        <rFont val="Arial"/>
        <family val="2"/>
      </rPr>
      <t>%</t>
    </r>
  </si>
  <si>
    <r>
      <rPr>
        <b/>
        <sz val="10"/>
        <color rgb="FF000000"/>
        <rFont val="Arial"/>
        <family val="2"/>
      </rPr>
      <t>3</t>
    </r>
    <r>
      <rPr>
        <b/>
        <sz val="10"/>
        <color rgb="FF000000"/>
        <rFont val="Noto Sans CJK SC"/>
        <family val="1"/>
      </rPr>
      <t>个方案</t>
    </r>
  </si>
  <si>
    <r>
      <rPr>
        <sz val="10"/>
        <color rgb="FF000000"/>
        <rFont val="Arial"/>
        <family val="2"/>
      </rPr>
      <t>1</t>
    </r>
    <r>
      <rPr>
        <sz val="10"/>
        <color rgb="FF000000"/>
        <rFont val="Noto Sans CJK SC"/>
        <family val="1"/>
      </rPr>
      <t>个</t>
    </r>
  </si>
  <si>
    <r>
      <rPr>
        <sz val="10"/>
        <color rgb="FF000000"/>
        <rFont val="Noto Sans CJK SC"/>
        <family val="1"/>
      </rPr>
      <t>签约项目数</t>
    </r>
    <r>
      <rPr>
        <sz val="10"/>
        <color rgb="FF000000"/>
        <rFont val="Arial"/>
        <family val="2"/>
      </rPr>
      <t>/</t>
    </r>
    <r>
      <rPr>
        <sz val="10"/>
        <color rgb="FF000000"/>
        <rFont val="Noto Sans CJK SC"/>
        <family val="1"/>
      </rPr>
      <t>合同金额</t>
    </r>
  </si>
  <si>
    <r>
      <rPr>
        <b/>
        <sz val="10"/>
        <color rgb="FF000000"/>
        <rFont val="Arial"/>
        <family val="2"/>
      </rPr>
      <t>2</t>
    </r>
    <r>
      <rPr>
        <b/>
        <sz val="10"/>
        <color rgb="FF000000"/>
        <rFont val="Noto Sans CJK SC"/>
        <family val="1"/>
      </rPr>
      <t>个项目</t>
    </r>
  </si>
  <si>
    <r>
      <rPr>
        <sz val="10"/>
        <color rgb="FF000000"/>
        <rFont val="Arial"/>
        <family val="2"/>
      </rPr>
      <t>0</t>
    </r>
    <r>
      <rPr>
        <sz val="10"/>
        <color rgb="FF000000"/>
        <rFont val="Noto Sans CJK SC"/>
        <family val="1"/>
      </rPr>
      <t>个</t>
    </r>
  </si>
  <si>
    <r>
      <rPr>
        <sz val="10"/>
        <color rgb="FF000000"/>
        <rFont val="Noto Sans CJK SC"/>
        <family val="1"/>
      </rPr>
      <t>开拓新行业</t>
    </r>
    <r>
      <rPr>
        <sz val="10"/>
        <color rgb="FF000000"/>
        <rFont val="Arial"/>
        <family val="2"/>
      </rPr>
      <t>/</t>
    </r>
    <r>
      <rPr>
        <sz val="10"/>
        <color rgb="FF000000"/>
        <rFont val="Noto Sans CJK SC"/>
        <family val="1"/>
      </rPr>
      <t>新客户市场</t>
    </r>
  </si>
  <si>
    <r>
      <rPr>
        <b/>
        <sz val="10"/>
        <color rgb="FF000000"/>
        <rFont val="Arial"/>
        <family val="2"/>
      </rPr>
      <t>3</t>
    </r>
    <r>
      <rPr>
        <b/>
        <sz val="10"/>
        <color rgb="FF000000"/>
        <rFont val="Noto Sans CJK SC"/>
        <family val="1"/>
      </rPr>
      <t>个</t>
    </r>
  </si>
  <si>
    <r>
      <rPr>
        <sz val="10"/>
        <color rgb="FF000000"/>
        <rFont val="Arial"/>
        <family val="2"/>
      </rPr>
      <t>NPS</t>
    </r>
    <r>
      <rPr>
        <sz val="10"/>
        <color rgb="FF000000"/>
        <rFont val="Noto Sans CJK SC"/>
        <family val="1"/>
      </rPr>
      <t xml:space="preserve">评分 </t>
    </r>
    <r>
      <rPr>
        <sz val="10"/>
        <color rgb="FF000000"/>
        <rFont val="Arial"/>
        <family val="2"/>
      </rPr>
      <t xml:space="preserve">/ </t>
    </r>
    <r>
      <rPr>
        <sz val="10"/>
        <color rgb="FF000000"/>
        <rFont val="Noto Sans CJK SC"/>
        <family val="1"/>
      </rPr>
      <t>客户书面反馈数量</t>
    </r>
  </si>
  <si>
    <r>
      <rPr>
        <b/>
        <sz val="10"/>
        <color rgb="FF000000"/>
        <rFont val="Arial"/>
        <family val="2"/>
      </rPr>
      <t>≥4.0</t>
    </r>
    <r>
      <rPr>
        <b/>
        <sz val="10"/>
        <color rgb="FF000000"/>
        <rFont val="Noto Sans CJK SC"/>
        <family val="1"/>
      </rPr>
      <t>分</t>
    </r>
  </si>
  <si>
    <r>
      <rPr>
        <sz val="10"/>
        <color rgb="FF000000"/>
        <rFont val="Arial"/>
        <family val="2"/>
      </rPr>
      <t>≥4.0</t>
    </r>
    <r>
      <rPr>
        <sz val="10"/>
        <color rgb="FF000000"/>
        <rFont val="Noto Sans CJK SC"/>
        <family val="1"/>
      </rPr>
      <t>分</t>
    </r>
  </si>
  <si>
    <r>
      <rPr>
        <sz val="10"/>
        <color rgb="FF000000"/>
        <rFont val="Noto Sans CJK SC"/>
        <family val="1"/>
      </rPr>
      <t>需求转化为</t>
    </r>
    <r>
      <rPr>
        <sz val="10"/>
        <color rgb="FF000000"/>
        <rFont val="Arial"/>
        <family val="2"/>
      </rPr>
      <t>Backlog</t>
    </r>
    <r>
      <rPr>
        <sz val="10"/>
        <color rgb="FF000000"/>
        <rFont val="Noto Sans CJK SC"/>
        <family val="1"/>
      </rPr>
      <t>比率</t>
    </r>
  </si>
  <si>
    <r>
      <rPr>
        <b/>
        <sz val="13"/>
        <color rgb="FFFFFFFF"/>
        <rFont val="Arial"/>
        <family val="2"/>
      </rPr>
      <t xml:space="preserve">B  </t>
    </r>
    <r>
      <rPr>
        <b/>
        <sz val="13"/>
        <color rgb="FFFFFFFF"/>
        <rFont val="Noto Sans CJK SC"/>
        <family val="1"/>
      </rPr>
      <t>季度里程碑甘特图（周粒度）</t>
    </r>
  </si>
  <si>
    <r>
      <rPr>
        <b/>
        <sz val="9"/>
        <color rgb="FFFFFFFF"/>
        <rFont val="Noto Sans CJK SC"/>
        <family val="1"/>
      </rPr>
      <t>第</t>
    </r>
    <r>
      <rPr>
        <b/>
        <sz val="9"/>
        <color rgb="FFFFFFFF"/>
        <rFont val="Arial"/>
        <family val="2"/>
      </rPr>
      <t>1</t>
    </r>
    <r>
      <rPr>
        <b/>
        <sz val="9"/>
        <color rgb="FFFFFFFF"/>
        <rFont val="Noto Sans CJK SC"/>
        <family val="1"/>
      </rPr>
      <t xml:space="preserve">月 </t>
    </r>
    <r>
      <rPr>
        <b/>
        <sz val="9"/>
        <color rgb="FFFFFFFF"/>
        <rFont val="Arial"/>
        <family val="2"/>
      </rPr>
      <t>(M1)</t>
    </r>
  </si>
  <si>
    <r>
      <rPr>
        <b/>
        <sz val="9"/>
        <color rgb="FFFFFFFF"/>
        <rFont val="Noto Sans CJK SC"/>
        <family val="1"/>
      </rPr>
      <t>第</t>
    </r>
    <r>
      <rPr>
        <b/>
        <sz val="9"/>
        <color rgb="FFFFFFFF"/>
        <rFont val="Arial"/>
        <family val="2"/>
      </rPr>
      <t>2</t>
    </r>
    <r>
      <rPr>
        <b/>
        <sz val="9"/>
        <color rgb="FFFFFFFF"/>
        <rFont val="Noto Sans CJK SC"/>
        <family val="1"/>
      </rPr>
      <t xml:space="preserve">月 </t>
    </r>
    <r>
      <rPr>
        <b/>
        <sz val="9"/>
        <color rgb="FFFFFFFF"/>
        <rFont val="Arial"/>
        <family val="2"/>
      </rPr>
      <t>(M2)</t>
    </r>
  </si>
  <si>
    <r>
      <rPr>
        <b/>
        <sz val="9"/>
        <color rgb="FFFFFFFF"/>
        <rFont val="Noto Sans CJK SC"/>
        <family val="1"/>
      </rPr>
      <t>第</t>
    </r>
    <r>
      <rPr>
        <b/>
        <sz val="9"/>
        <color rgb="FFFFFFFF"/>
        <rFont val="Arial"/>
        <family val="2"/>
      </rPr>
      <t>3</t>
    </r>
    <r>
      <rPr>
        <b/>
        <sz val="9"/>
        <color rgb="FFFFFFFF"/>
        <rFont val="Noto Sans CJK SC"/>
        <family val="1"/>
      </rPr>
      <t xml:space="preserve">月 </t>
    </r>
    <r>
      <rPr>
        <b/>
        <sz val="9"/>
        <color rgb="FFFFFFFF"/>
        <rFont val="Arial"/>
        <family val="2"/>
      </rPr>
      <t>(M3)</t>
    </r>
  </si>
  <si>
    <r>
      <rPr>
        <b/>
        <sz val="9"/>
        <color rgb="FFFFFFFF"/>
        <rFont val="Noto Sans CJK SC"/>
        <family val="1"/>
      </rPr>
      <t>交付内容</t>
    </r>
    <r>
      <rPr>
        <b/>
        <sz val="9"/>
        <color rgb="FFFFFFFF"/>
        <rFont val="Arial"/>
        <family val="2"/>
      </rPr>
      <t>/</t>
    </r>
    <r>
      <rPr>
        <b/>
        <sz val="9"/>
        <color rgb="FFFFFFFF"/>
        <rFont val="Noto Sans CJK SC"/>
        <family val="1"/>
      </rPr>
      <t>验收标准</t>
    </r>
  </si>
  <si>
    <r>
      <rPr>
        <b/>
        <sz val="10"/>
        <color rgb="FF000000"/>
        <rFont val="Noto Sans CJK SC"/>
        <family val="1"/>
      </rPr>
      <t>能源管控：</t>
    </r>
    <r>
      <rPr>
        <b/>
        <sz val="10"/>
        <color rgb="FF000000"/>
        <rFont val="Arial"/>
        <family val="2"/>
      </rPr>
      <t>Q3</t>
    </r>
    <r>
      <rPr>
        <b/>
        <sz val="10"/>
        <color rgb="FF000000"/>
        <rFont val="Noto Sans CJK SC"/>
        <family val="1"/>
      </rPr>
      <t>商机清单锁定</t>
    </r>
  </si>
  <si>
    <r>
      <rPr>
        <sz val="10"/>
        <color rgb="FF000000"/>
        <rFont val="Noto Sans CJK SC"/>
        <family val="1"/>
      </rPr>
      <t>季度目标商机清单，含客户名称</t>
    </r>
    <r>
      <rPr>
        <sz val="10"/>
        <color rgb="FF000000"/>
        <rFont val="Arial"/>
        <family val="2"/>
      </rPr>
      <t>/</t>
    </r>
    <r>
      <rPr>
        <sz val="10"/>
        <color rgb="FF000000"/>
        <rFont val="Noto Sans CJK SC"/>
        <family val="1"/>
      </rPr>
      <t>行业</t>
    </r>
    <r>
      <rPr>
        <sz val="10"/>
        <color rgb="FF000000"/>
        <rFont val="Arial"/>
        <family val="2"/>
      </rPr>
      <t>/</t>
    </r>
    <r>
      <rPr>
        <sz val="10"/>
        <color rgb="FF000000"/>
        <rFont val="Noto Sans CJK SC"/>
        <family val="1"/>
      </rPr>
      <t>预计金额，双线组长确认</t>
    </r>
  </si>
  <si>
    <r>
      <rPr>
        <sz val="10"/>
        <color rgb="FF000000"/>
        <rFont val="Arial"/>
        <family val="2"/>
      </rPr>
      <t>7</t>
    </r>
    <r>
      <rPr>
        <sz val="10"/>
        <color rgb="FF000000"/>
        <rFont val="Noto Sans CJK SC"/>
        <family val="1"/>
      </rPr>
      <t>月第</t>
    </r>
    <r>
      <rPr>
        <sz val="10"/>
        <color rgb="FF000000"/>
        <rFont val="Arial"/>
        <family val="2"/>
      </rPr>
      <t>1</t>
    </r>
    <r>
      <rPr>
        <sz val="10"/>
        <color rgb="FF000000"/>
        <rFont val="Noto Sans CJK SC"/>
        <family val="1"/>
      </rPr>
      <t>周</t>
    </r>
  </si>
  <si>
    <r>
      <rPr>
        <b/>
        <sz val="10"/>
        <color rgb="FF000000"/>
        <rFont val="Noto Sans CJK SC"/>
        <family val="1"/>
      </rPr>
      <t>能源管控：</t>
    </r>
    <r>
      <rPr>
        <b/>
        <sz val="10"/>
        <color rgb="FF000000"/>
        <rFont val="Arial"/>
        <family val="2"/>
      </rPr>
      <t>Q3</t>
    </r>
    <r>
      <rPr>
        <b/>
        <sz val="10"/>
        <color rgb="FF000000"/>
        <rFont val="Noto Sans CJK SC"/>
        <family val="1"/>
      </rPr>
      <t>技术方案评审就绪</t>
    </r>
  </si>
  <si>
    <r>
      <rPr>
        <sz val="10"/>
        <color rgb="FF000000"/>
        <rFont val="Noto Sans CJK SC"/>
        <family val="1"/>
      </rPr>
      <t>完成前</t>
    </r>
    <r>
      <rPr>
        <sz val="10"/>
        <color rgb="FF000000"/>
        <rFont val="Arial"/>
        <family val="2"/>
      </rPr>
      <t>3</t>
    </r>
    <r>
      <rPr>
        <sz val="10"/>
        <color rgb="FF000000"/>
        <rFont val="Noto Sans CJK SC"/>
        <family val="1"/>
      </rPr>
      <t>个商机的技术方案初稿，通过内部评审</t>
    </r>
  </si>
  <si>
    <r>
      <rPr>
        <sz val="10"/>
        <color rgb="FF000000"/>
        <rFont val="Arial"/>
        <family val="2"/>
      </rPr>
      <t>7</t>
    </r>
    <r>
      <rPr>
        <sz val="10"/>
        <color rgb="FF000000"/>
        <rFont val="Noto Sans CJK SC"/>
        <family val="1"/>
      </rPr>
      <t>月第</t>
    </r>
    <r>
      <rPr>
        <sz val="10"/>
        <color rgb="FF000000"/>
        <rFont val="Arial"/>
        <family val="2"/>
      </rPr>
      <t>3</t>
    </r>
    <r>
      <rPr>
        <sz val="10"/>
        <color rgb="FF000000"/>
        <rFont val="Noto Sans CJK SC"/>
        <family val="1"/>
      </rPr>
      <t>周</t>
    </r>
  </si>
  <si>
    <r>
      <rPr>
        <b/>
        <sz val="10"/>
        <color rgb="FF000000"/>
        <rFont val="Noto Sans CJK SC"/>
        <family val="1"/>
      </rPr>
      <t>能源管控：完成</t>
    </r>
    <r>
      <rPr>
        <b/>
        <sz val="10"/>
        <color rgb="FF000000"/>
        <rFont val="Arial"/>
        <family val="2"/>
      </rPr>
      <t>M1</t>
    </r>
    <r>
      <rPr>
        <b/>
        <sz val="10"/>
        <color rgb="FF000000"/>
        <rFont val="Noto Sans CJK SC"/>
        <family val="1"/>
      </rPr>
      <t>客户方案演示</t>
    </r>
  </si>
  <si>
    <r>
      <rPr>
        <sz val="10"/>
        <color rgb="FF000000"/>
        <rFont val="Noto Sans CJK SC"/>
        <family val="1"/>
      </rPr>
      <t>方案演示</t>
    </r>
    <r>
      <rPr>
        <sz val="10"/>
        <color rgb="FF000000"/>
        <rFont val="Arial"/>
        <family val="2"/>
      </rPr>
      <t>PPT+</t>
    </r>
    <r>
      <rPr>
        <sz val="10"/>
        <color rgb="FF000000"/>
        <rFont val="Noto Sans CJK SC"/>
        <family val="1"/>
      </rPr>
      <t>现场演示，获客户反馈</t>
    </r>
  </si>
  <si>
    <r>
      <rPr>
        <sz val="10"/>
        <color rgb="FF000000"/>
        <rFont val="Arial"/>
        <family val="2"/>
      </rPr>
      <t>8</t>
    </r>
    <r>
      <rPr>
        <sz val="10"/>
        <color rgb="FF000000"/>
        <rFont val="Noto Sans CJK SC"/>
        <family val="1"/>
      </rPr>
      <t>月第</t>
    </r>
    <r>
      <rPr>
        <sz val="10"/>
        <color rgb="FF000000"/>
        <rFont val="Arial"/>
        <family val="2"/>
      </rPr>
      <t>1</t>
    </r>
    <r>
      <rPr>
        <sz val="10"/>
        <color rgb="FF000000"/>
        <rFont val="Noto Sans CJK SC"/>
        <family val="1"/>
      </rPr>
      <t>周</t>
    </r>
  </si>
  <si>
    <r>
      <rPr>
        <sz val="10"/>
        <color rgb="FF000000"/>
        <rFont val="Arial"/>
        <family val="2"/>
      </rPr>
      <t>7</t>
    </r>
    <r>
      <rPr>
        <sz val="10"/>
        <color rgb="FF000000"/>
        <rFont val="Noto Sans CJK SC"/>
        <family val="1"/>
      </rPr>
      <t>月第</t>
    </r>
    <r>
      <rPr>
        <sz val="10"/>
        <color rgb="FF000000"/>
        <rFont val="Arial"/>
        <family val="2"/>
      </rPr>
      <t>2</t>
    </r>
    <r>
      <rPr>
        <sz val="10"/>
        <color rgb="FF000000"/>
        <rFont val="Noto Sans CJK SC"/>
        <family val="1"/>
      </rPr>
      <t>周</t>
    </r>
  </si>
  <si>
    <r>
      <rPr>
        <b/>
        <sz val="10"/>
        <color rgb="FF000000"/>
        <rFont val="Noto Sans CJK SC"/>
        <family val="1"/>
      </rPr>
      <t>数字化：完成</t>
    </r>
    <r>
      <rPr>
        <b/>
        <sz val="10"/>
        <color rgb="FF000000"/>
        <rFont val="Arial"/>
        <family val="2"/>
      </rPr>
      <t>M1</t>
    </r>
    <r>
      <rPr>
        <b/>
        <sz val="10"/>
        <color rgb="FF000000"/>
        <rFont val="Noto Sans CJK SC"/>
        <family val="1"/>
      </rPr>
      <t>客户需求调研</t>
    </r>
  </si>
  <si>
    <r>
      <rPr>
        <sz val="10"/>
        <color rgb="FF000000"/>
        <rFont val="Noto Sans CJK SC"/>
        <family val="1"/>
      </rPr>
      <t>调研报告，覆盖≥</t>
    </r>
    <r>
      <rPr>
        <sz val="10"/>
        <color rgb="FF000000"/>
        <rFont val="Arial"/>
        <family val="2"/>
      </rPr>
      <t>3</t>
    </r>
    <r>
      <rPr>
        <sz val="10"/>
        <color rgb="FF000000"/>
        <rFont val="Noto Sans CJK SC"/>
        <family val="1"/>
      </rPr>
      <t>家目标客户</t>
    </r>
  </si>
  <si>
    <r>
      <rPr>
        <sz val="10"/>
        <color rgb="FF000000"/>
        <rFont val="Arial"/>
        <family val="2"/>
      </rPr>
      <t>7</t>
    </r>
    <r>
      <rPr>
        <sz val="10"/>
        <color rgb="FF000000"/>
        <rFont val="Noto Sans CJK SC"/>
        <family val="1"/>
      </rPr>
      <t>月第</t>
    </r>
    <r>
      <rPr>
        <sz val="10"/>
        <color rgb="FF000000"/>
        <rFont val="Arial"/>
        <family val="2"/>
      </rPr>
      <t>4</t>
    </r>
    <r>
      <rPr>
        <sz val="10"/>
        <color rgb="FF000000"/>
        <rFont val="Noto Sans CJK SC"/>
        <family val="1"/>
      </rPr>
      <t>周</t>
    </r>
  </si>
  <si>
    <r>
      <rPr>
        <sz val="10"/>
        <color rgb="FF000000"/>
        <rFont val="Arial"/>
        <family val="2"/>
      </rPr>
      <t>3</t>
    </r>
    <r>
      <rPr>
        <sz val="10"/>
        <color rgb="FF000000"/>
        <rFont val="Noto Sans CJK SC"/>
        <family val="1"/>
      </rPr>
      <t>个新行业竞争态势及机会点分析报告</t>
    </r>
  </si>
  <si>
    <r>
      <rPr>
        <sz val="10"/>
        <color rgb="FF000000"/>
        <rFont val="Arial"/>
        <family val="2"/>
      </rPr>
      <t>8</t>
    </r>
    <r>
      <rPr>
        <sz val="10"/>
        <color rgb="FF000000"/>
        <rFont val="Noto Sans CJK SC"/>
        <family val="1"/>
      </rPr>
      <t>月第</t>
    </r>
    <r>
      <rPr>
        <sz val="10"/>
        <color rgb="FF000000"/>
        <rFont val="Arial"/>
        <family val="2"/>
      </rPr>
      <t>2</t>
    </r>
    <r>
      <rPr>
        <sz val="10"/>
        <color rgb="FF000000"/>
        <rFont val="Noto Sans CJK SC"/>
        <family val="1"/>
      </rPr>
      <t>周</t>
    </r>
  </si>
  <si>
    <r>
      <rPr>
        <b/>
        <sz val="10"/>
        <color rgb="FF000000"/>
        <rFont val="Arial"/>
        <family val="2"/>
      </rPr>
      <t>Q2</t>
    </r>
    <r>
      <rPr>
        <b/>
        <sz val="10"/>
        <color rgb="FF000000"/>
        <rFont val="Noto Sans CJK SC"/>
        <family val="1"/>
      </rPr>
      <t xml:space="preserve">商机回顾 </t>
    </r>
    <r>
      <rPr>
        <b/>
        <sz val="10"/>
        <color rgb="FF000000"/>
        <rFont val="Arial"/>
        <family val="2"/>
      </rPr>
      <t>&amp; Q3</t>
    </r>
    <r>
      <rPr>
        <b/>
        <sz val="10"/>
        <color rgb="FF000000"/>
        <rFont val="Noto Sans CJK SC"/>
        <family val="1"/>
      </rPr>
      <t>漏斗健康检查</t>
    </r>
  </si>
  <si>
    <r>
      <rPr>
        <sz val="10"/>
        <color rgb="FF000000"/>
        <rFont val="Noto Sans CJK SC"/>
        <family val="1"/>
      </rPr>
      <t>商机漏斗状态汇报，标注高</t>
    </r>
    <r>
      <rPr>
        <sz val="10"/>
        <color rgb="FF000000"/>
        <rFont val="Arial"/>
        <family val="2"/>
      </rPr>
      <t>/</t>
    </r>
    <r>
      <rPr>
        <sz val="10"/>
        <color rgb="FF000000"/>
        <rFont val="Noto Sans CJK SC"/>
        <family val="1"/>
      </rPr>
      <t>中</t>
    </r>
    <r>
      <rPr>
        <sz val="10"/>
        <color rgb="FF000000"/>
        <rFont val="Arial"/>
        <family val="2"/>
      </rPr>
      <t>/</t>
    </r>
    <r>
      <rPr>
        <sz val="10"/>
        <color rgb="FF000000"/>
        <rFont val="Noto Sans CJK SC"/>
        <family val="1"/>
      </rPr>
      <t>低风险项</t>
    </r>
  </si>
  <si>
    <r>
      <rPr>
        <sz val="10"/>
        <color rgb="FF000000"/>
        <rFont val="Arial"/>
        <family val="2"/>
      </rPr>
      <t>8</t>
    </r>
    <r>
      <rPr>
        <sz val="10"/>
        <color rgb="FF000000"/>
        <rFont val="Noto Sans CJK SC"/>
        <family val="1"/>
      </rPr>
      <t>月第</t>
    </r>
    <r>
      <rPr>
        <sz val="10"/>
        <color rgb="FF000000"/>
        <rFont val="Arial"/>
        <family val="2"/>
      </rPr>
      <t>3</t>
    </r>
    <r>
      <rPr>
        <sz val="10"/>
        <color rgb="FF000000"/>
        <rFont val="Noto Sans CJK SC"/>
        <family val="1"/>
      </rPr>
      <t>周</t>
    </r>
  </si>
  <si>
    <r>
      <rPr>
        <b/>
        <sz val="10"/>
        <color rgb="FF000000"/>
        <rFont val="Noto Sans CJK SC"/>
        <family val="1"/>
      </rPr>
      <t>能源管控：第</t>
    </r>
    <r>
      <rPr>
        <b/>
        <sz val="10"/>
        <color rgb="FF000000"/>
        <rFont val="Arial"/>
        <family val="2"/>
      </rPr>
      <t>2</t>
    </r>
    <r>
      <rPr>
        <b/>
        <sz val="10"/>
        <color rgb="FF000000"/>
        <rFont val="Noto Sans CJK SC"/>
        <family val="1"/>
      </rPr>
      <t>批方案提交</t>
    </r>
  </si>
  <si>
    <r>
      <rPr>
        <sz val="10"/>
        <color rgb="FF000000"/>
        <rFont val="Noto Sans CJK SC"/>
        <family val="1"/>
      </rPr>
      <t>季度第</t>
    </r>
    <r>
      <rPr>
        <sz val="10"/>
        <color rgb="FF000000"/>
        <rFont val="Arial"/>
        <family val="2"/>
      </rPr>
      <t>2</t>
    </r>
    <r>
      <rPr>
        <sz val="10"/>
        <color rgb="FF000000"/>
        <rFont val="Noto Sans CJK SC"/>
        <family val="1"/>
      </rPr>
      <t>批商机技术方案完成</t>
    </r>
  </si>
  <si>
    <r>
      <rPr>
        <sz val="10"/>
        <color rgb="FF000000"/>
        <rFont val="Arial"/>
        <family val="2"/>
      </rPr>
      <t>8</t>
    </r>
    <r>
      <rPr>
        <sz val="10"/>
        <color rgb="FF000000"/>
        <rFont val="Noto Sans CJK SC"/>
        <family val="1"/>
      </rPr>
      <t>月第</t>
    </r>
    <r>
      <rPr>
        <sz val="10"/>
        <color rgb="FF000000"/>
        <rFont val="Arial"/>
        <family val="2"/>
      </rPr>
      <t>4</t>
    </r>
    <r>
      <rPr>
        <sz val="10"/>
        <color rgb="FF000000"/>
        <rFont val="Noto Sans CJK SC"/>
        <family val="1"/>
      </rPr>
      <t>周</t>
    </r>
  </si>
  <si>
    <r>
      <rPr>
        <sz val="10"/>
        <color rgb="FF000000"/>
        <rFont val="Arial"/>
        <family val="2"/>
      </rPr>
      <t>≥5</t>
    </r>
    <r>
      <rPr>
        <sz val="10"/>
        <color rgb="FF000000"/>
        <rFont val="Noto Sans CJK SC"/>
        <family val="1"/>
      </rPr>
      <t>家核心客户</t>
    </r>
    <r>
      <rPr>
        <sz val="10"/>
        <color rgb="FF000000"/>
        <rFont val="Arial"/>
        <family val="2"/>
      </rPr>
      <t>NPS</t>
    </r>
    <r>
      <rPr>
        <sz val="10"/>
        <color rgb="FF000000"/>
        <rFont val="Noto Sans CJK SC"/>
        <family val="1"/>
      </rPr>
      <t>调研完成，报告输出</t>
    </r>
  </si>
  <si>
    <r>
      <rPr>
        <sz val="10"/>
        <color rgb="FF000000"/>
        <rFont val="Arial"/>
        <family val="2"/>
      </rPr>
      <t>9</t>
    </r>
    <r>
      <rPr>
        <sz val="10"/>
        <color rgb="FF000000"/>
        <rFont val="Noto Sans CJK SC"/>
        <family val="1"/>
      </rPr>
      <t>月第</t>
    </r>
    <r>
      <rPr>
        <sz val="10"/>
        <color rgb="FF000000"/>
        <rFont val="Arial"/>
        <family val="2"/>
      </rPr>
      <t>1</t>
    </r>
    <r>
      <rPr>
        <sz val="10"/>
        <color rgb="FF000000"/>
        <rFont val="Noto Sans CJK SC"/>
        <family val="1"/>
      </rPr>
      <t>周</t>
    </r>
  </si>
  <si>
    <r>
      <rPr>
        <sz val="10"/>
        <color rgb="FF000000"/>
        <rFont val="Noto Sans CJK SC"/>
        <family val="1"/>
      </rPr>
      <t>季度签约合同</t>
    </r>
    <r>
      <rPr>
        <sz val="10"/>
        <color rgb="FF000000"/>
        <rFont val="Arial"/>
        <family val="2"/>
      </rPr>
      <t>/</t>
    </r>
    <r>
      <rPr>
        <sz val="10"/>
        <color rgb="FF000000"/>
        <rFont val="Noto Sans CJK SC"/>
        <family val="1"/>
      </rPr>
      <t>意向书数量达成回顾</t>
    </r>
  </si>
  <si>
    <r>
      <rPr>
        <sz val="10"/>
        <color rgb="FF000000"/>
        <rFont val="Arial"/>
        <family val="2"/>
      </rPr>
      <t>9</t>
    </r>
    <r>
      <rPr>
        <sz val="10"/>
        <color rgb="FF000000"/>
        <rFont val="Noto Sans CJK SC"/>
        <family val="1"/>
      </rPr>
      <t>月第</t>
    </r>
    <r>
      <rPr>
        <sz val="10"/>
        <color rgb="FF000000"/>
        <rFont val="Arial"/>
        <family val="2"/>
      </rPr>
      <t>3</t>
    </r>
    <r>
      <rPr>
        <sz val="10"/>
        <color rgb="FF000000"/>
        <rFont val="Noto Sans CJK SC"/>
        <family val="1"/>
      </rPr>
      <t>周</t>
    </r>
  </si>
  <si>
    <r>
      <rPr>
        <b/>
        <sz val="10"/>
        <color rgb="FF000000"/>
        <rFont val="Arial"/>
        <family val="2"/>
      </rPr>
      <t>Q3</t>
    </r>
    <r>
      <rPr>
        <b/>
        <sz val="10"/>
        <color rgb="FF000000"/>
        <rFont val="Noto Sans CJK SC"/>
        <family val="1"/>
      </rPr>
      <t>季度市场总结汇报</t>
    </r>
  </si>
  <si>
    <r>
      <rPr>
        <sz val="10"/>
        <color rgb="FF000000"/>
        <rFont val="Noto Sans CJK SC"/>
        <family val="1"/>
      </rPr>
      <t>季度目标达成汇报（双线组长</t>
    </r>
    <r>
      <rPr>
        <sz val="10"/>
        <color rgb="FF000000"/>
        <rFont val="Arial"/>
        <family val="2"/>
      </rPr>
      <t>+</t>
    </r>
    <r>
      <rPr>
        <sz val="10"/>
        <color rgb="FF000000"/>
        <rFont val="Noto Sans CJK SC"/>
        <family val="1"/>
      </rPr>
      <t>负责人），下季度规划草案</t>
    </r>
  </si>
  <si>
    <r>
      <rPr>
        <sz val="10"/>
        <color rgb="FF000000"/>
        <rFont val="Arial"/>
        <family val="2"/>
      </rPr>
      <t>9</t>
    </r>
    <r>
      <rPr>
        <sz val="10"/>
        <color rgb="FF000000"/>
        <rFont val="Noto Sans CJK SC"/>
        <family val="1"/>
      </rPr>
      <t>月第</t>
    </r>
    <r>
      <rPr>
        <sz val="10"/>
        <color rgb="FF000000"/>
        <rFont val="Arial"/>
        <family val="2"/>
      </rPr>
      <t>4</t>
    </r>
    <r>
      <rPr>
        <sz val="10"/>
        <color rgb="FF000000"/>
        <rFont val="Noto Sans CJK SC"/>
        <family val="1"/>
      </rPr>
      <t>周</t>
    </r>
  </si>
  <si>
    <r>
      <rPr>
        <b/>
        <sz val="10"/>
        <color rgb="FF000000"/>
        <rFont val="Arial"/>
        <family val="2"/>
      </rPr>
      <t>Q4</t>
    </r>
    <r>
      <rPr>
        <b/>
        <sz val="10"/>
        <color rgb="FF000000"/>
        <rFont val="Noto Sans CJK SC"/>
        <family val="1"/>
      </rPr>
      <t>目标及商机预规划</t>
    </r>
  </si>
  <si>
    <r>
      <rPr>
        <sz val="10"/>
        <color rgb="FF000000"/>
        <rFont val="Noto Sans CJK SC"/>
        <family val="1"/>
      </rPr>
      <t>锁定</t>
    </r>
    <r>
      <rPr>
        <sz val="10"/>
        <color rgb="FF000000"/>
        <rFont val="Arial"/>
        <family val="2"/>
      </rPr>
      <t>Q4</t>
    </r>
    <r>
      <rPr>
        <sz val="10"/>
        <color rgb="FF000000"/>
        <rFont val="Noto Sans CJK SC"/>
        <family val="1"/>
      </rPr>
      <t>重点方向，形成初版商机预测清单</t>
    </r>
  </si>
  <si>
    <r>
      <rPr>
        <sz val="10"/>
        <color rgb="FF000000"/>
        <rFont val="Arial"/>
        <family val="2"/>
      </rPr>
      <t>9</t>
    </r>
    <r>
      <rPr>
        <sz val="10"/>
        <color rgb="FF000000"/>
        <rFont val="Noto Sans CJK SC"/>
        <family val="1"/>
      </rPr>
      <t>月末</t>
    </r>
  </si>
  <si>
    <r>
      <rPr>
        <b/>
        <sz val="13"/>
        <color rgb="FFFFFFFF"/>
        <rFont val="Arial"/>
        <family val="2"/>
      </rPr>
      <t xml:space="preserve">C  </t>
    </r>
    <r>
      <rPr>
        <b/>
        <sz val="13"/>
        <color rgb="FFFFFFFF"/>
        <rFont val="Noto Sans CJK SC"/>
        <family val="1"/>
      </rPr>
      <t>风险登记册（季度维护）</t>
    </r>
  </si>
  <si>
    <r>
      <rPr>
        <sz val="10"/>
        <color rgb="FF000000"/>
        <rFont val="Noto Sans CJK SC"/>
        <family val="1"/>
      </rPr>
      <t>计划日期前</t>
    </r>
    <r>
      <rPr>
        <sz val="10"/>
        <color rgb="FF000000"/>
        <rFont val="Arial"/>
        <family val="2"/>
      </rPr>
      <t>2</t>
    </r>
    <r>
      <rPr>
        <sz val="10"/>
        <color rgb="FF000000"/>
        <rFont val="Noto Sans CJK SC"/>
        <family val="1"/>
      </rPr>
      <t>周</t>
    </r>
  </si>
  <si>
    <r>
      <rPr>
        <sz val="10"/>
        <color rgb="FF000000"/>
        <rFont val="Noto Sans CJK SC"/>
        <family val="1"/>
      </rPr>
      <t>方案需求提交后</t>
    </r>
    <r>
      <rPr>
        <sz val="10"/>
        <color rgb="FF000000"/>
        <rFont val="Arial"/>
        <family val="2"/>
      </rPr>
      <t>5</t>
    </r>
    <r>
      <rPr>
        <sz val="10"/>
        <color rgb="FF000000"/>
        <rFont val="Noto Sans CJK SC"/>
        <family val="1"/>
      </rPr>
      <t>天无响应</t>
    </r>
  </si>
  <si>
    <r>
      <rPr>
        <sz val="10"/>
        <color rgb="FF000000"/>
        <rFont val="Noto Sans CJK SC"/>
        <family val="1"/>
      </rPr>
      <t>市场</t>
    </r>
    <r>
      <rPr>
        <sz val="10"/>
        <color rgb="FF000000"/>
        <rFont val="Arial"/>
        <family val="2"/>
      </rPr>
      <t>+</t>
    </r>
    <r>
      <rPr>
        <sz val="10"/>
        <color rgb="FF000000"/>
        <rFont val="Noto Sans CJK SC"/>
        <family val="1"/>
      </rPr>
      <t>产品线</t>
    </r>
  </si>
  <si>
    <r>
      <rPr>
        <sz val="10"/>
        <color rgb="FF000000"/>
        <rFont val="Arial"/>
        <family val="2"/>
      </rPr>
      <t>M2/M3</t>
    </r>
    <r>
      <rPr>
        <sz val="10"/>
        <color rgb="FF000000"/>
        <rFont val="Noto Sans CJK SC"/>
        <family val="1"/>
      </rPr>
      <t>前两个月完成率</t>
    </r>
    <r>
      <rPr>
        <sz val="10"/>
        <color rgb="FF000000"/>
        <rFont val="Arial"/>
        <family val="2"/>
      </rPr>
      <t>&lt;60%</t>
    </r>
  </si>
  <si>
    <r>
      <rPr>
        <b/>
        <sz val="11"/>
        <color rgb="FFFFFFFF"/>
        <rFont val="宋体"/>
        <family val="3"/>
        <charset val="134"/>
      </rPr>
      <t>技术中心</t>
    </r>
    <r>
      <rPr>
        <b/>
        <sz val="11"/>
        <color rgb="FFFFFFFF"/>
        <rFont val="Noto Sans CJK SC"/>
      </rPr>
      <t xml:space="preserve"> </t>
    </r>
    <r>
      <rPr>
        <b/>
        <sz val="11"/>
        <color rgb="FFFFFFFF"/>
        <rFont val="Arial"/>
        <family val="2"/>
      </rPr>
      <t xml:space="preserve">· </t>
    </r>
    <r>
      <rPr>
        <b/>
        <sz val="11"/>
        <color rgb="FFFFFFFF"/>
        <rFont val="宋体"/>
        <family val="3"/>
        <charset val="134"/>
      </rPr>
      <t>数字化建设组</t>
    </r>
    <r>
      <rPr>
        <b/>
        <sz val="11"/>
        <color rgb="FFFFFFFF"/>
        <rFont val="Noto Sans CJK SC"/>
      </rPr>
      <t xml:space="preserve">  </t>
    </r>
    <r>
      <rPr>
        <b/>
        <sz val="11"/>
        <color rgb="FFFFFFFF"/>
        <rFont val="宋体"/>
        <family val="3"/>
        <charset val="134"/>
      </rPr>
      <t>季度里程碑计划表</t>
    </r>
    <r>
      <rPr>
        <b/>
        <sz val="11"/>
        <color rgb="FFFFFFFF"/>
        <rFont val="Noto Sans CJK SC"/>
      </rPr>
      <t xml:space="preserve">  </t>
    </r>
    <r>
      <rPr>
        <b/>
        <sz val="11"/>
        <color rgb="FFFFFFFF"/>
        <rFont val="Arial"/>
        <family val="2"/>
      </rPr>
      <t xml:space="preserve">|  </t>
    </r>
    <r>
      <rPr>
        <b/>
        <sz val="11"/>
        <color rgb="FFFFFFFF"/>
        <rFont val="宋体"/>
        <family val="3"/>
        <charset val="134"/>
      </rPr>
      <t>覆盖产品：数字化管理系统</t>
    </r>
    <r>
      <rPr>
        <b/>
        <sz val="11"/>
        <color rgb="FFFFFFFF"/>
        <rFont val="Noto Sans CJK SC"/>
      </rPr>
      <t>/</t>
    </r>
    <r>
      <rPr>
        <b/>
        <sz val="11"/>
        <color rgb="FFFFFFFF"/>
        <rFont val="宋体"/>
        <family val="3"/>
        <charset val="134"/>
      </rPr>
      <t>自然人数字化管理系统</t>
    </r>
    <r>
      <rPr>
        <b/>
        <sz val="11"/>
        <color rgb="FFFFFFFF"/>
        <rFont val="Noto Sans CJK SC"/>
      </rPr>
      <t>/</t>
    </r>
    <r>
      <rPr>
        <b/>
        <sz val="11"/>
        <color rgb="FFFFFFFF"/>
        <rFont val="宋体"/>
        <family val="3"/>
        <charset val="134"/>
      </rPr>
      <t>日志管理</t>
    </r>
    <r>
      <rPr>
        <b/>
        <sz val="11"/>
        <color rgb="FFFFFFFF"/>
        <rFont val="Noto Sans CJK SC"/>
      </rPr>
      <t>/</t>
    </r>
    <r>
      <rPr>
        <b/>
        <sz val="11"/>
        <color rgb="FFFFFFFF"/>
        <rFont val="宋体"/>
        <family val="3"/>
        <charset val="134"/>
      </rPr>
      <t>大陆通APP</t>
    </r>
  </si>
  <si>
    <r>
      <rPr>
        <sz val="9"/>
        <color rgb="FF1F3864"/>
        <rFont val="宋体"/>
        <family val="3"/>
        <charset val="134"/>
      </rPr>
      <t>产品线组</t>
    </r>
    <r>
      <rPr>
        <sz val="9"/>
        <color rgb="FF1F3864"/>
        <rFont val="Arial"/>
        <family val="2"/>
      </rPr>
      <t xml:space="preserve">: </t>
    </r>
    <r>
      <rPr>
        <sz val="9"/>
        <color rgb="FF1F3864"/>
        <rFont val="宋体"/>
        <family val="3"/>
        <charset val="134"/>
      </rPr>
      <t>数字化建设组</t>
    </r>
  </si>
  <si>
    <r>
      <rPr>
        <sz val="9"/>
        <color rgb="FF1F3864"/>
        <rFont val="宋体"/>
        <family val="3"/>
        <charset val="134"/>
      </rPr>
      <t>组长</t>
    </r>
    <r>
      <rPr>
        <sz val="9"/>
        <color rgb="FF1F3864"/>
        <rFont val="Arial"/>
        <family val="2"/>
      </rPr>
      <t xml:space="preserve">: </t>
    </r>
    <r>
      <rPr>
        <sz val="9"/>
        <color rgb="FF1F3864"/>
        <rFont val="宋体"/>
        <family val="3"/>
        <charset val="134"/>
      </rPr>
      <t>陈鹏飞</t>
    </r>
  </si>
  <si>
    <r>
      <rPr>
        <b/>
        <sz val="13"/>
        <color rgb="FFFFFFFF"/>
        <rFont val="Arial"/>
        <family val="2"/>
      </rPr>
      <t xml:space="preserve">A  </t>
    </r>
    <r>
      <rPr>
        <b/>
        <sz val="13"/>
        <color rgb="FFFFFFFF"/>
        <rFont val="Noto Sans CJK SC"/>
      </rPr>
      <t>季度产品目标看板</t>
    </r>
  </si>
  <si>
    <r>
      <rPr>
        <b/>
        <sz val="9"/>
        <color rgb="FFFFFFFF"/>
        <rFont val="Arial"/>
        <family val="2"/>
      </rPr>
      <t>M1</t>
    </r>
    <r>
      <rPr>
        <b/>
        <sz val="9"/>
        <color rgb="FFFFFFFF"/>
        <rFont val="Noto Sans CJK SC"/>
      </rPr>
      <t>目标</t>
    </r>
  </si>
  <si>
    <r>
      <rPr>
        <b/>
        <sz val="9"/>
        <color rgb="FFFFFFFF"/>
        <rFont val="Arial"/>
        <family val="2"/>
      </rPr>
      <t>M1</t>
    </r>
    <r>
      <rPr>
        <b/>
        <sz val="9"/>
        <color rgb="FFFFFFFF"/>
        <rFont val="Noto Sans CJK SC"/>
      </rPr>
      <t>状态</t>
    </r>
  </si>
  <si>
    <r>
      <rPr>
        <b/>
        <sz val="9"/>
        <color rgb="FFFFFFFF"/>
        <rFont val="Arial"/>
        <family val="2"/>
      </rPr>
      <t>M2</t>
    </r>
    <r>
      <rPr>
        <b/>
        <sz val="9"/>
        <color rgb="FFFFFFFF"/>
        <rFont val="Noto Sans CJK SC"/>
      </rPr>
      <t>目标</t>
    </r>
  </si>
  <si>
    <r>
      <rPr>
        <b/>
        <sz val="9"/>
        <color rgb="FFFFFFFF"/>
        <rFont val="Arial"/>
        <family val="2"/>
      </rPr>
      <t>M2</t>
    </r>
    <r>
      <rPr>
        <b/>
        <sz val="9"/>
        <color rgb="FFFFFFFF"/>
        <rFont val="Noto Sans CJK SC"/>
      </rPr>
      <t>状态</t>
    </r>
  </si>
  <si>
    <r>
      <rPr>
        <b/>
        <sz val="9"/>
        <color rgb="FFFFFFFF"/>
        <rFont val="Arial"/>
        <family val="2"/>
      </rPr>
      <t>M3</t>
    </r>
    <r>
      <rPr>
        <b/>
        <sz val="9"/>
        <color rgb="FFFFFFFF"/>
        <rFont val="Noto Sans CJK SC"/>
      </rPr>
      <t>目标</t>
    </r>
  </si>
  <si>
    <r>
      <rPr>
        <b/>
        <sz val="9"/>
        <color rgb="FFFFFFFF"/>
        <rFont val="Arial"/>
        <family val="2"/>
      </rPr>
      <t>M3</t>
    </r>
    <r>
      <rPr>
        <b/>
        <sz val="9"/>
        <color rgb="FFFFFFFF"/>
        <rFont val="Noto Sans CJK SC"/>
      </rPr>
      <t>状态</t>
    </r>
  </si>
  <si>
    <r>
      <rPr>
        <b/>
        <sz val="13"/>
        <color rgb="FFFFFFFF"/>
        <rFont val="Arial"/>
        <family val="2"/>
      </rPr>
      <t xml:space="preserve">B  </t>
    </r>
    <r>
      <rPr>
        <b/>
        <sz val="13"/>
        <color rgb="FFFFFFFF"/>
        <rFont val="Noto Sans CJK SC"/>
      </rPr>
      <t>季度风险登记册</t>
    </r>
  </si>
  <si>
    <r>
      <rPr>
        <b/>
        <sz val="11"/>
        <color rgb="FFFFFFFF"/>
        <rFont val="Noto Sans CJK SC"/>
        <family val="1"/>
      </rPr>
      <t xml:space="preserve">技术中心 </t>
    </r>
    <r>
      <rPr>
        <b/>
        <sz val="11"/>
        <color rgb="FFFFFFFF"/>
        <rFont val="Arial"/>
        <family val="2"/>
      </rPr>
      <t xml:space="preserve">· </t>
    </r>
    <r>
      <rPr>
        <b/>
        <sz val="11"/>
        <color rgb="FFFFFFFF"/>
        <rFont val="Noto Sans CJK SC"/>
        <family val="1"/>
      </rPr>
      <t xml:space="preserve">能源管理建设组  季度里程碑计划表  </t>
    </r>
    <r>
      <rPr>
        <b/>
        <sz val="11"/>
        <color rgb="FFFFFFFF"/>
        <rFont val="Arial"/>
        <family val="2"/>
      </rPr>
      <t xml:space="preserve">|  </t>
    </r>
    <r>
      <rPr>
        <b/>
        <sz val="11"/>
        <color rgb="FFFFFFFF"/>
        <rFont val="Noto Sans CJK SC"/>
        <family val="1"/>
      </rPr>
      <t xml:space="preserve">覆盖产品：能源管理 </t>
    </r>
    <r>
      <rPr>
        <b/>
        <sz val="11"/>
        <color rgb="FFFFFFFF"/>
        <rFont val="Arial"/>
        <family val="2"/>
      </rPr>
      <t xml:space="preserve">/ </t>
    </r>
    <r>
      <rPr>
        <b/>
        <sz val="11"/>
        <color rgb="FFFFFFFF"/>
        <rFont val="Noto Sans CJK SC"/>
        <family val="1"/>
      </rPr>
      <t xml:space="preserve">能碳管理 </t>
    </r>
    <r>
      <rPr>
        <b/>
        <sz val="11"/>
        <color rgb="FFFFFFFF"/>
        <rFont val="Arial"/>
        <family val="2"/>
      </rPr>
      <t xml:space="preserve">/ </t>
    </r>
    <r>
      <rPr>
        <b/>
        <sz val="11"/>
        <color rgb="FFFFFFFF"/>
        <rFont val="Noto Sans CJK SC"/>
        <family val="1"/>
      </rPr>
      <t xml:space="preserve">节能监察 </t>
    </r>
    <r>
      <rPr>
        <b/>
        <sz val="11"/>
        <color rgb="FFFFFFFF"/>
        <rFont val="Arial"/>
        <family val="2"/>
      </rPr>
      <t xml:space="preserve">/ </t>
    </r>
    <r>
      <rPr>
        <b/>
        <sz val="11"/>
        <color rgb="FFFFFFFF"/>
        <rFont val="Noto Sans CJK SC"/>
        <family val="1"/>
      </rPr>
      <t xml:space="preserve">能源运维 </t>
    </r>
    <r>
      <rPr>
        <b/>
        <sz val="11"/>
        <color rgb="FFFFFFFF"/>
        <rFont val="Arial"/>
        <family val="2"/>
      </rPr>
      <t xml:space="preserve">/ </t>
    </r>
    <r>
      <rPr>
        <b/>
        <sz val="11"/>
        <color rgb="FFFFFFFF"/>
        <rFont val="Noto Sans CJK SC"/>
        <family val="1"/>
      </rPr>
      <t>计量运维</t>
    </r>
  </si>
  <si>
    <r>
      <rPr>
        <sz val="9"/>
        <color rgb="FF1F3864"/>
        <rFont val="Noto Sans CJK SC"/>
        <family val="1"/>
      </rPr>
      <t>产品线组</t>
    </r>
    <r>
      <rPr>
        <sz val="9"/>
        <color rgb="FF1F3864"/>
        <rFont val="Arial"/>
        <family val="2"/>
      </rPr>
      <t xml:space="preserve">: </t>
    </r>
    <r>
      <rPr>
        <sz val="9"/>
        <color rgb="FF1F3864"/>
        <rFont val="Noto Sans CJK SC"/>
        <family val="1"/>
      </rPr>
      <t>能源管理建设组</t>
    </r>
  </si>
  <si>
    <r>
      <rPr>
        <sz val="9"/>
        <color rgb="FF1F3864"/>
        <rFont val="Noto Sans CJK SC"/>
        <family val="1"/>
      </rPr>
      <t>组长</t>
    </r>
    <r>
      <rPr>
        <sz val="9"/>
        <color rgb="FF1F3864"/>
        <rFont val="Arial"/>
        <family val="2"/>
      </rPr>
      <t xml:space="preserve">: </t>
    </r>
    <r>
      <rPr>
        <sz val="9"/>
        <color rgb="FF1F3864"/>
        <rFont val="Noto Sans CJK SC"/>
        <family val="1"/>
      </rPr>
      <t>亓新明</t>
    </r>
  </si>
  <si>
    <r>
      <rPr>
        <b/>
        <sz val="13"/>
        <color rgb="FFFFFFFF"/>
        <rFont val="Arial"/>
        <family val="2"/>
      </rPr>
      <t xml:space="preserve">A  </t>
    </r>
    <r>
      <rPr>
        <b/>
        <sz val="13"/>
        <color rgb="FFFFFFFF"/>
        <rFont val="Noto Sans CJK SC"/>
        <family val="1"/>
      </rPr>
      <t>季度产品目标看板</t>
    </r>
  </si>
  <si>
    <r>
      <rPr>
        <b/>
        <sz val="9"/>
        <color rgb="FFFFFFFF"/>
        <rFont val="Arial"/>
        <family val="2"/>
      </rPr>
      <t>M1</t>
    </r>
    <r>
      <rPr>
        <b/>
        <sz val="9"/>
        <color rgb="FFFFFFFF"/>
        <rFont val="Noto Sans CJK SC"/>
        <family val="1"/>
      </rPr>
      <t>目标</t>
    </r>
  </si>
  <si>
    <r>
      <rPr>
        <b/>
        <sz val="9"/>
        <color rgb="FFFFFFFF"/>
        <rFont val="Arial"/>
        <family val="2"/>
      </rPr>
      <t>M2</t>
    </r>
    <r>
      <rPr>
        <b/>
        <sz val="9"/>
        <color rgb="FFFFFFFF"/>
        <rFont val="Noto Sans CJK SC"/>
        <family val="1"/>
      </rPr>
      <t>目标</t>
    </r>
  </si>
  <si>
    <r>
      <rPr>
        <b/>
        <sz val="9"/>
        <color rgb="FFFFFFFF"/>
        <rFont val="Arial"/>
        <family val="2"/>
      </rPr>
      <t>M3</t>
    </r>
    <r>
      <rPr>
        <b/>
        <sz val="9"/>
        <color rgb="FFFFFFFF"/>
        <rFont val="Noto Sans CJK SC"/>
        <family val="1"/>
      </rPr>
      <t>目标</t>
    </r>
  </si>
  <si>
    <r>
      <rPr>
        <b/>
        <sz val="11"/>
        <color rgb="FFFFFFFF"/>
        <rFont val="宋体"/>
        <family val="3"/>
        <charset val="134"/>
      </rPr>
      <t>技术中心</t>
    </r>
    <r>
      <rPr>
        <b/>
        <sz val="11"/>
        <color rgb="FFFFFFFF"/>
        <rFont val="Noto Sans CJK SC"/>
        <family val="1"/>
      </rPr>
      <t xml:space="preserve"> </t>
    </r>
    <r>
      <rPr>
        <b/>
        <sz val="11"/>
        <color rgb="FFFFFFFF"/>
        <rFont val="Arial"/>
        <family val="2"/>
      </rPr>
      <t xml:space="preserve">· </t>
    </r>
    <r>
      <rPr>
        <b/>
        <sz val="11"/>
        <color rgb="FFFFFFFF"/>
        <rFont val="宋体"/>
        <family val="3"/>
        <charset val="134"/>
      </rPr>
      <t>制造建设组</t>
    </r>
    <r>
      <rPr>
        <b/>
        <sz val="11"/>
        <color rgb="FFFFFFFF"/>
        <rFont val="Noto Sans CJK SC"/>
        <family val="1"/>
      </rPr>
      <t xml:space="preserve">  </t>
    </r>
    <r>
      <rPr>
        <b/>
        <sz val="11"/>
        <color rgb="FFFFFFFF"/>
        <rFont val="宋体"/>
        <family val="3"/>
        <charset val="134"/>
      </rPr>
      <t>季度里程碑计划表</t>
    </r>
    <r>
      <rPr>
        <b/>
        <sz val="11"/>
        <color rgb="FFFFFFFF"/>
        <rFont val="Noto Sans CJK SC"/>
        <family val="1"/>
      </rPr>
      <t xml:space="preserve">  </t>
    </r>
    <r>
      <rPr>
        <b/>
        <sz val="11"/>
        <color rgb="FFFFFFFF"/>
        <rFont val="Arial"/>
        <family val="2"/>
      </rPr>
      <t xml:space="preserve">|  </t>
    </r>
    <r>
      <rPr>
        <b/>
        <sz val="11"/>
        <color rgb="FFFFFFFF"/>
        <rFont val="宋体"/>
        <family val="3"/>
        <charset val="134"/>
      </rPr>
      <t>覆盖产品：仪表制造</t>
    </r>
    <r>
      <rPr>
        <b/>
        <sz val="11"/>
        <color rgb="FFFFFFFF"/>
        <rFont val="Noto Sans CJK SC"/>
        <family val="1"/>
      </rPr>
      <t xml:space="preserve">1.0 </t>
    </r>
    <r>
      <rPr>
        <b/>
        <sz val="11"/>
        <color rgb="FFFFFFFF"/>
        <rFont val="Arial"/>
        <family val="2"/>
      </rPr>
      <t xml:space="preserve">/ </t>
    </r>
    <r>
      <rPr>
        <b/>
        <sz val="11"/>
        <color rgb="FFFFFFFF"/>
        <rFont val="宋体"/>
        <family val="3"/>
        <charset val="134"/>
      </rPr>
      <t>仪表制造</t>
    </r>
    <r>
      <rPr>
        <b/>
        <sz val="11"/>
        <color rgb="FFFFFFFF"/>
        <rFont val="Noto Sans CJK SC"/>
        <family val="1"/>
      </rPr>
      <t xml:space="preserve">2.0 </t>
    </r>
  </si>
  <si>
    <r>
      <rPr>
        <sz val="9"/>
        <color rgb="FF1F3864"/>
        <rFont val="宋体"/>
        <family val="3"/>
        <charset val="134"/>
      </rPr>
      <t>组长</t>
    </r>
    <r>
      <rPr>
        <sz val="9"/>
        <color rgb="FF1F3864"/>
        <rFont val="Arial"/>
        <family val="2"/>
      </rPr>
      <t xml:space="preserve">: </t>
    </r>
    <r>
      <rPr>
        <sz val="9"/>
        <color rgb="FF1F3864"/>
        <rFont val="宋体"/>
        <family val="3"/>
        <charset val="134"/>
      </rPr>
      <t>黄其萌</t>
    </r>
  </si>
  <si>
    <r>
      <rPr>
        <sz val="10"/>
        <color rgb="FF000000"/>
        <rFont val="宋体"/>
        <family val="3"/>
        <charset val="134"/>
      </rPr>
      <t>完成</t>
    </r>
    <r>
      <rPr>
        <sz val="10"/>
        <color rgb="FF000000"/>
        <rFont val="Arial"/>
        <family val="2"/>
      </rPr>
      <t>1</t>
    </r>
    <r>
      <rPr>
        <sz val="10"/>
        <color rgb="FF000000"/>
        <rFont val="宋体"/>
        <family val="3"/>
        <charset val="134"/>
      </rPr>
      <t>项技术交底书</t>
    </r>
  </si>
  <si>
    <r>
      <rPr>
        <b/>
        <sz val="13"/>
        <color rgb="FFFFFFFF"/>
        <rFont val="Arial"/>
        <family val="2"/>
      </rPr>
      <t xml:space="preserve">B  </t>
    </r>
    <r>
      <rPr>
        <b/>
        <sz val="13"/>
        <color rgb="FFFFFFFF"/>
        <rFont val="Noto Sans CJK SC"/>
        <family val="1"/>
      </rPr>
      <t>季度风险登记册</t>
    </r>
  </si>
  <si>
    <r>
      <rPr>
        <sz val="10"/>
        <color rgb="FF000000"/>
        <rFont val="宋体"/>
        <family val="3"/>
        <charset val="134"/>
      </rPr>
      <t>全</t>
    </r>
    <r>
      <rPr>
        <sz val="10"/>
        <color rgb="FF000000"/>
        <rFont val="Arial"/>
        <family val="2"/>
      </rPr>
      <t>Spring</t>
    </r>
  </si>
  <si>
    <r>
      <rPr>
        <b/>
        <sz val="10"/>
        <color rgb="FF0F6E56"/>
        <rFont val="微软雅黑"/>
        <family val="2"/>
        <charset val="134"/>
      </rPr>
      <t>全</t>
    </r>
    <r>
      <rPr>
        <b/>
        <sz val="10"/>
        <color rgb="FF0F6E56"/>
        <rFont val="Arial"/>
        <family val="2"/>
      </rPr>
      <t>Sprint</t>
    </r>
  </si>
  <si>
    <r>
      <rPr>
        <sz val="10"/>
        <color rgb="FF000000"/>
        <rFont val="微软雅黑"/>
        <family val="2"/>
        <charset val="134"/>
      </rPr>
      <t>全</t>
    </r>
    <r>
      <rPr>
        <sz val="10"/>
        <color rgb="FF000000"/>
        <rFont val="Arial"/>
        <family val="2"/>
      </rPr>
      <t>Sprint</t>
    </r>
  </si>
  <si>
    <r>
      <rPr>
        <b/>
        <sz val="11"/>
        <color rgb="FFFFFFFF"/>
        <rFont val="微软雅黑"/>
        <family val="2"/>
        <charset val="134"/>
      </rPr>
      <t>技术中心</t>
    </r>
    <r>
      <rPr>
        <b/>
        <sz val="11"/>
        <color rgb="FFFFFFFF"/>
        <rFont val="Arial"/>
        <family val="2"/>
      </rPr>
      <t xml:space="preserve"> · </t>
    </r>
    <r>
      <rPr>
        <b/>
        <sz val="11"/>
        <color rgb="FFFFFFFF"/>
        <rFont val="微软雅黑"/>
        <family val="2"/>
        <charset val="134"/>
      </rPr>
      <t>平台建设组</t>
    </r>
    <r>
      <rPr>
        <b/>
        <sz val="11"/>
        <color rgb="FFFFFFFF"/>
        <rFont val="Noto Sans CJK SC"/>
        <family val="2"/>
        <charset val="134"/>
      </rPr>
      <t> </t>
    </r>
    <r>
      <rPr>
        <b/>
        <sz val="11"/>
        <color rgb="FFFFFFFF"/>
        <rFont val="Arial"/>
        <family val="2"/>
      </rPr>
      <t xml:space="preserve"> </t>
    </r>
    <r>
      <rPr>
        <b/>
        <sz val="11"/>
        <color rgb="FFFFFFFF"/>
        <rFont val="微软雅黑"/>
        <family val="2"/>
        <charset val="134"/>
      </rPr>
      <t>季度里程碑计划表</t>
    </r>
    <r>
      <rPr>
        <b/>
        <sz val="11"/>
        <color rgb="FFFFFFFF"/>
        <rFont val="Noto Sans CJK SC"/>
        <family val="2"/>
        <charset val="134"/>
      </rPr>
      <t> </t>
    </r>
    <r>
      <rPr>
        <b/>
        <sz val="11"/>
        <color rgb="FFFFFFFF"/>
        <rFont val="Arial"/>
        <family val="2"/>
      </rPr>
      <t xml:space="preserve"> |</t>
    </r>
    <r>
      <rPr>
        <b/>
        <sz val="11"/>
        <color rgb="FFFFFFFF"/>
        <rFont val="Noto Sans CJK SC"/>
        <family val="2"/>
        <charset val="134"/>
      </rPr>
      <t> </t>
    </r>
    <r>
      <rPr>
        <b/>
        <sz val="11"/>
        <color rgb="FFFFFFFF"/>
        <rFont val="Arial"/>
        <family val="2"/>
      </rPr>
      <t xml:space="preserve"> </t>
    </r>
    <r>
      <rPr>
        <b/>
        <sz val="11"/>
        <color rgb="FFFFFFFF"/>
        <rFont val="微软雅黑"/>
        <family val="2"/>
        <charset val="134"/>
      </rPr>
      <t>覆盖产品：标识中心</t>
    </r>
    <r>
      <rPr>
        <b/>
        <sz val="11"/>
        <color rgb="FFFFFFFF"/>
        <rFont val="Arial"/>
        <family val="2"/>
      </rPr>
      <t xml:space="preserve"> / </t>
    </r>
    <r>
      <rPr>
        <b/>
        <sz val="11"/>
        <color rgb="FFFFFFFF"/>
        <rFont val="微软雅黑"/>
        <family val="2"/>
        <charset val="134"/>
      </rPr>
      <t>客户中心</t>
    </r>
    <r>
      <rPr>
        <b/>
        <sz val="11"/>
        <color rgb="FFFFFFFF"/>
        <rFont val="Arial"/>
        <family val="2"/>
      </rPr>
      <t xml:space="preserve"> / </t>
    </r>
    <r>
      <rPr>
        <b/>
        <sz val="11"/>
        <color rgb="FFFFFFFF"/>
        <rFont val="微软雅黑"/>
        <family val="2"/>
        <charset val="134"/>
      </rPr>
      <t>认证中心</t>
    </r>
    <r>
      <rPr>
        <b/>
        <sz val="11"/>
        <color rgb="FFFFFFFF"/>
        <rFont val="Arial"/>
        <family val="2"/>
      </rPr>
      <t xml:space="preserve"> / </t>
    </r>
    <r>
      <rPr>
        <b/>
        <sz val="11"/>
        <color rgb="FFFFFFFF"/>
        <rFont val="微软雅黑"/>
        <family val="2"/>
        <charset val="134"/>
      </rPr>
      <t>支付体系</t>
    </r>
    <r>
      <rPr>
        <b/>
        <sz val="11"/>
        <color rgb="FFFFFFFF"/>
        <rFont val="Arial"/>
        <family val="2"/>
      </rPr>
      <t xml:space="preserve"> / </t>
    </r>
    <r>
      <rPr>
        <b/>
        <sz val="11"/>
        <color rgb="FFFFFFFF"/>
        <rFont val="微软雅黑"/>
        <family val="2"/>
        <charset val="134"/>
      </rPr>
      <t>大陆通商城 / 知识库</t>
    </r>
    <phoneticPr fontId="73" type="noConversion"/>
  </si>
  <si>
    <r>
      <rPr>
        <sz val="9"/>
        <color rgb="FF1F3864"/>
        <rFont val="微软雅黑"/>
        <family val="2"/>
        <charset val="134"/>
      </rPr>
      <t>产品线组</t>
    </r>
    <r>
      <rPr>
        <sz val="9"/>
        <color rgb="FF1F3864"/>
        <rFont val="Arial"/>
        <family val="2"/>
      </rPr>
      <t xml:space="preserve">: </t>
    </r>
    <r>
      <rPr>
        <sz val="9"/>
        <color rgb="FF1F3864"/>
        <rFont val="微软雅黑"/>
        <family val="2"/>
        <charset val="134"/>
      </rPr>
      <t>平台建设组</t>
    </r>
    <phoneticPr fontId="73" type="noConversion"/>
  </si>
  <si>
    <r>
      <rPr>
        <sz val="9"/>
        <color rgb="FF1F3864"/>
        <rFont val="微软雅黑"/>
        <family val="2"/>
        <charset val="134"/>
      </rPr>
      <t>组长</t>
    </r>
    <r>
      <rPr>
        <sz val="9"/>
        <color rgb="FF1F3864"/>
        <rFont val="Arial"/>
        <family val="2"/>
      </rPr>
      <t xml:space="preserve">: </t>
    </r>
    <r>
      <rPr>
        <sz val="9"/>
        <color rgb="FF1F3864"/>
        <rFont val="Noto Sans CJK SC"/>
        <family val="2"/>
        <charset val="134"/>
      </rPr>
      <t>王云飞</t>
    </r>
    <phoneticPr fontId="73" type="noConversion"/>
  </si>
  <si>
    <r>
      <rPr>
        <sz val="9"/>
        <color rgb="FF1F3864"/>
        <rFont val="微软雅黑"/>
        <family val="2"/>
        <charset val="134"/>
      </rPr>
      <t>版本</t>
    </r>
    <r>
      <rPr>
        <sz val="9"/>
        <color rgb="FF1F3864"/>
        <rFont val="Arial"/>
        <family val="2"/>
      </rPr>
      <t>:</t>
    </r>
    <phoneticPr fontId="73" type="noConversion"/>
  </si>
  <si>
    <r>
      <rPr>
        <b/>
        <sz val="11"/>
        <color rgb="FFFFFFFF"/>
        <rFont val="微软雅黑"/>
        <family val="2"/>
        <charset val="134"/>
      </rPr>
      <t>技术中心</t>
    </r>
    <r>
      <rPr>
        <b/>
        <sz val="11"/>
        <color rgb="FFFFFFFF"/>
        <rFont val="Arial"/>
        <family val="2"/>
      </rPr>
      <t xml:space="preserve"> · </t>
    </r>
    <r>
      <rPr>
        <b/>
        <sz val="11"/>
        <color rgb="FFFFFFFF"/>
        <rFont val="微软雅黑"/>
        <family val="2"/>
        <charset val="134"/>
      </rPr>
      <t>智慧设备建设组</t>
    </r>
    <r>
      <rPr>
        <b/>
        <sz val="11"/>
        <color rgb="FFFFFFFF"/>
        <rFont val="Noto Sans CJK SC"/>
        <family val="2"/>
        <charset val="134"/>
      </rPr>
      <t> </t>
    </r>
    <r>
      <rPr>
        <b/>
        <sz val="11"/>
        <color rgb="FFFFFFFF"/>
        <rFont val="Arial"/>
        <family val="2"/>
      </rPr>
      <t xml:space="preserve"> </t>
    </r>
    <r>
      <rPr>
        <b/>
        <sz val="11"/>
        <color rgb="FFFFFFFF"/>
        <rFont val="微软雅黑"/>
        <family val="2"/>
        <charset val="134"/>
      </rPr>
      <t>季度里程碑计划表</t>
    </r>
    <r>
      <rPr>
        <b/>
        <sz val="11"/>
        <color rgb="FFFFFFFF"/>
        <rFont val="Noto Sans CJK SC"/>
        <family val="2"/>
        <charset val="134"/>
      </rPr>
      <t> </t>
    </r>
    <r>
      <rPr>
        <b/>
        <sz val="11"/>
        <color rgb="FFFFFFFF"/>
        <rFont val="Arial"/>
        <family val="2"/>
      </rPr>
      <t xml:space="preserve"> |</t>
    </r>
    <r>
      <rPr>
        <b/>
        <sz val="11"/>
        <color rgb="FFFFFFFF"/>
        <rFont val="Noto Sans CJK SC"/>
        <family val="2"/>
        <charset val="134"/>
      </rPr>
      <t> </t>
    </r>
    <r>
      <rPr>
        <b/>
        <sz val="11"/>
        <color rgb="FFFFFFFF"/>
        <rFont val="Arial"/>
        <family val="2"/>
      </rPr>
      <t xml:space="preserve"> </t>
    </r>
    <r>
      <rPr>
        <b/>
        <sz val="11"/>
        <color rgb="FFFFFFFF"/>
        <rFont val="微软雅黑"/>
        <family val="2"/>
        <charset val="134"/>
      </rPr>
      <t>覆盖产品：设备监测控制中心</t>
    </r>
    <r>
      <rPr>
        <b/>
        <sz val="11"/>
        <color rgb="FFFFFFFF"/>
        <rFont val="Arial"/>
        <family val="2"/>
      </rPr>
      <t xml:space="preserve"> / </t>
    </r>
    <r>
      <rPr>
        <b/>
        <sz val="11"/>
        <color rgb="FFFFFFFF"/>
        <rFont val="微软雅黑"/>
        <family val="2"/>
        <charset val="134"/>
      </rPr>
      <t>工云学堂</t>
    </r>
    <phoneticPr fontId="82" type="noConversion"/>
  </si>
  <si>
    <r>
      <rPr>
        <sz val="9"/>
        <color rgb="FF1F3864"/>
        <rFont val="微软雅黑"/>
        <family val="2"/>
        <charset val="134"/>
      </rPr>
      <t>产品线组</t>
    </r>
    <r>
      <rPr>
        <sz val="9"/>
        <color rgb="FF1F3864"/>
        <rFont val="Arial"/>
        <family val="2"/>
      </rPr>
      <t>:</t>
    </r>
    <r>
      <rPr>
        <sz val="9"/>
        <color rgb="FF1F3864"/>
        <rFont val="微软雅黑"/>
        <family val="2"/>
        <charset val="134"/>
      </rPr>
      <t>智慧设备建设组</t>
    </r>
    <phoneticPr fontId="82" type="noConversion"/>
  </si>
  <si>
    <r>
      <rPr>
        <sz val="9"/>
        <color rgb="FF1F3864"/>
        <rFont val="微软雅黑"/>
        <family val="2"/>
        <charset val="134"/>
      </rPr>
      <t>组长</t>
    </r>
    <r>
      <rPr>
        <sz val="9"/>
        <color rgb="FF1F3864"/>
        <rFont val="Arial"/>
        <family val="2"/>
      </rPr>
      <t xml:space="preserve">: </t>
    </r>
    <r>
      <rPr>
        <sz val="9"/>
        <color rgb="FF1F3864"/>
        <rFont val="微软雅黑"/>
        <family val="2"/>
        <charset val="134"/>
      </rPr>
      <t>朱清凡</t>
    </r>
    <phoneticPr fontId="82" type="noConversion"/>
  </si>
  <si>
    <r>
      <rPr>
        <sz val="10"/>
        <color rgb="FF000000"/>
        <rFont val="微软雅黑"/>
        <family val="2"/>
        <charset val="134"/>
      </rPr>
      <t>输出设备监测控制中心</t>
    </r>
    <r>
      <rPr>
        <sz val="10"/>
        <color rgb="FF000000"/>
        <rFont val="Arial"/>
        <family val="2"/>
      </rPr>
      <t>AI</t>
    </r>
    <r>
      <rPr>
        <sz val="10"/>
        <color rgb="FF000000"/>
        <rFont val="微软雅黑"/>
        <family val="2"/>
        <charset val="134"/>
      </rPr>
      <t>赋能方案；</t>
    </r>
  </si>
  <si>
    <r>
      <rPr>
        <sz val="10"/>
        <color rgb="FF000000"/>
        <rFont val="微软雅黑"/>
        <family val="2"/>
        <charset val="134"/>
      </rPr>
      <t>输出工云学堂</t>
    </r>
    <r>
      <rPr>
        <sz val="10"/>
        <color rgb="FF000000"/>
        <rFont val="Arial"/>
        <family val="2"/>
      </rPr>
      <t>AI</t>
    </r>
    <r>
      <rPr>
        <sz val="10"/>
        <color rgb="FF000000"/>
        <rFont val="微软雅黑"/>
        <family val="2"/>
        <charset val="134"/>
      </rPr>
      <t>赋能方案；</t>
    </r>
  </si>
  <si>
    <r>
      <rPr>
        <sz val="10"/>
        <color rgb="FF000000"/>
        <rFont val="微软雅黑"/>
        <family val="2"/>
        <charset val="134"/>
      </rPr>
      <t>冻结</t>
    </r>
    <r>
      <rPr>
        <sz val="10"/>
        <color rgb="FF000000"/>
        <rFont val="Arial"/>
        <family val="2"/>
      </rPr>
      <t>Sprint</t>
    </r>
    <r>
      <rPr>
        <sz val="10"/>
        <color rgb="FF000000"/>
        <rFont val="微软雅黑"/>
        <family val="2"/>
        <charset val="134"/>
      </rPr>
      <t>范围，变更进下期</t>
    </r>
    <r>
      <rPr>
        <sz val="10"/>
        <color rgb="FF000000"/>
        <rFont val="Arial"/>
        <family val="2"/>
      </rPr>
      <t>Backlog</t>
    </r>
  </si>
  <si>
    <r>
      <rPr>
        <b/>
        <sz val="10"/>
        <color rgb="FF0F6E56"/>
        <rFont val="Noto Sans CJK SC"/>
      </rPr>
      <t>全</t>
    </r>
    <r>
      <rPr>
        <b/>
        <sz val="10"/>
        <color rgb="FF0F6E56"/>
        <rFont val="Arial"/>
        <family val="2"/>
      </rPr>
      <t>Sprint</t>
    </r>
  </si>
  <si>
    <r>
      <rPr>
        <sz val="10"/>
        <color rgb="FF000000"/>
        <rFont val="宋体"/>
        <family val="3"/>
        <charset val="134"/>
      </rPr>
      <t>能源管控中心</t>
    </r>
    <r>
      <rPr>
        <sz val="11"/>
        <color rgb="FF000000"/>
        <rFont val="Calibri"/>
        <family val="2"/>
      </rPr>
      <t>V1.8.7</t>
    </r>
    <r>
      <rPr>
        <sz val="11"/>
        <color rgb="FF000000"/>
        <rFont val="宋体-简"/>
        <family val="1"/>
        <charset val="134"/>
      </rPr>
      <t>版本需求沟通、产品设计</t>
    </r>
  </si>
  <si>
    <r>
      <rPr>
        <sz val="9"/>
        <color rgb="FF1F3864"/>
        <rFont val="宋体"/>
        <family val="3"/>
        <charset val="134"/>
      </rPr>
      <t>季度</t>
    </r>
    <r>
      <rPr>
        <sz val="9"/>
        <color rgb="FF1F3864"/>
        <rFont val="Arial"/>
        <family val="2"/>
      </rPr>
      <t>: Q3(2026</t>
    </r>
    <r>
      <rPr>
        <sz val="9"/>
        <color rgb="FF1F3864"/>
        <rFont val="宋体"/>
        <family val="3"/>
        <charset val="134"/>
      </rPr>
      <t>年</t>
    </r>
    <r>
      <rPr>
        <sz val="9"/>
        <color rgb="FF1F3864"/>
        <rFont val="Noto Sans CJK SC"/>
      </rPr>
      <t>7</t>
    </r>
    <r>
      <rPr>
        <sz val="9"/>
        <color rgb="FF1F3864"/>
        <rFont val="Arial"/>
        <family val="2"/>
      </rPr>
      <t>-9</t>
    </r>
    <r>
      <rPr>
        <sz val="9"/>
        <color rgb="FF1F3864"/>
        <rFont val="宋体"/>
        <family val="3"/>
        <charset val="134"/>
      </rPr>
      <t>月</t>
    </r>
    <r>
      <rPr>
        <sz val="9"/>
        <color rgb="FF1F3864"/>
        <rFont val="Arial"/>
        <family val="2"/>
      </rPr>
      <t>)</t>
    </r>
    <phoneticPr fontId="140" type="noConversion"/>
  </si>
  <si>
    <r>
      <t>季度</t>
    </r>
    <r>
      <rPr>
        <sz val="9"/>
        <color rgb="FF1F3864"/>
        <rFont val="Arial"/>
        <family val="2"/>
      </rPr>
      <t>: Q3(2026</t>
    </r>
    <r>
      <rPr>
        <sz val="9"/>
        <color rgb="FF1F3864"/>
        <rFont val="宋体"/>
        <family val="3"/>
        <charset val="134"/>
      </rPr>
      <t>年</t>
    </r>
    <r>
      <rPr>
        <sz val="9"/>
        <color rgb="FF1F3864"/>
        <rFont val="Noto Sans CJK SC"/>
      </rPr>
      <t>7</t>
    </r>
    <r>
      <rPr>
        <sz val="9"/>
        <color rgb="FF1F3864"/>
        <rFont val="Arial"/>
        <family val="2"/>
      </rPr>
      <t>-9</t>
    </r>
    <r>
      <rPr>
        <sz val="9"/>
        <color rgb="FF1F3864"/>
        <rFont val="宋体"/>
        <family val="3"/>
        <charset val="134"/>
      </rPr>
      <t>月</t>
    </r>
    <r>
      <rPr>
        <sz val="9"/>
        <color rgb="FF1F3864"/>
        <rFont val="Arial"/>
        <family val="2"/>
      </rPr>
      <t>)</t>
    </r>
    <phoneticPr fontId="140" type="noConversion"/>
  </si>
  <si>
    <r>
      <t>产品线组</t>
    </r>
    <r>
      <rPr>
        <sz val="9"/>
        <color rgb="FF1F3864"/>
        <rFont val="Arial"/>
        <family val="2"/>
      </rPr>
      <t xml:space="preserve">: </t>
    </r>
    <r>
      <rPr>
        <sz val="9"/>
        <color rgb="FF1F3864"/>
        <rFont val="宋体"/>
        <family val="3"/>
        <charset val="134"/>
      </rPr>
      <t>制造业产品组</t>
    </r>
    <phoneticPr fontId="14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</si>
</sst>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1">
    <font>
      <sz val="11"/>
      <color theme="1"/>
      <name val="Calibri"/>
      <charset val="1"/>
    </font>
    <font>
      <b/>
      <sz val="15"/>
      <color rgb="FFFFFFFF"/>
      <name val="Noto Sans CJK SC"/>
      <family val="1"/>
    </font>
    <font>
      <b/>
      <sz val="9"/>
      <color rgb="FFFFFFFF"/>
      <name val="Noto Sans CJK SC"/>
      <family val="1"/>
    </font>
    <font>
      <sz val="9"/>
      <name val="Arial"/>
      <family val="2"/>
    </font>
    <font>
      <b/>
      <sz val="9"/>
      <color rgb="FFFFFF99"/>
      <name val="Noto Sans CJK SC"/>
      <family val="1"/>
    </font>
    <font>
      <b/>
      <sz val="11"/>
      <color rgb="FFFFFFFF"/>
      <name val="Noto Sans CJK SC"/>
      <family val="1"/>
    </font>
    <font>
      <b/>
      <sz val="10"/>
      <color rgb="FF375623"/>
      <name val="Noto Sans CJK SC"/>
      <family val="1"/>
    </font>
    <font>
      <b/>
      <sz val="10"/>
      <color rgb="FF000000"/>
      <name val="Noto Sans CJK SC"/>
      <family val="1"/>
    </font>
    <font>
      <sz val="10"/>
      <color rgb="FF000000"/>
      <name val="Arial"/>
      <family val="2"/>
    </font>
    <font>
      <sz val="10"/>
      <color rgb="FF000000"/>
      <name val="Noto Sans CJK SC"/>
      <family val="1"/>
    </font>
    <font>
      <sz val="10"/>
      <color rgb="FFAAAAAA"/>
      <name val="微软雅黑"/>
      <family val="2"/>
      <charset val="134"/>
    </font>
    <font>
      <sz val="10"/>
      <color rgb="FFAAAAAA"/>
      <name val="Noto Sans CJK SC"/>
      <family val="1"/>
    </font>
    <font>
      <b/>
      <sz val="10"/>
      <color rgb="FFFFFFFF"/>
      <name val="Noto Sans CJK SC"/>
      <family val="1"/>
    </font>
    <font>
      <b/>
      <sz val="11"/>
      <name val="Arial"/>
      <family val="2"/>
    </font>
    <font>
      <b/>
      <sz val="10"/>
      <color rgb="FF2E75B6"/>
      <name val="Noto Sans CJK SC"/>
      <family val="1"/>
    </font>
    <font>
      <b/>
      <sz val="18"/>
      <name val="Arial"/>
      <family val="2"/>
    </font>
    <font>
      <b/>
      <sz val="14"/>
      <color rgb="FF375623"/>
      <name val="Arial"/>
      <family val="2"/>
    </font>
    <font>
      <sz val="9"/>
      <color rgb="FF000000"/>
      <name val="Noto Sans CJK SC"/>
      <family val="1"/>
    </font>
    <font>
      <b/>
      <sz val="10"/>
      <name val="Noto Sans CJK SC"/>
      <family val="1"/>
    </font>
    <font>
      <b/>
      <sz val="9"/>
      <color rgb="FF000000"/>
      <name val="Noto Sans CJK SC"/>
      <family val="1"/>
    </font>
    <font>
      <sz val="11"/>
      <name val="Calibri"/>
      <family val="2"/>
    </font>
    <font>
      <b/>
      <sz val="14"/>
      <color rgb="FFFFFFFF"/>
      <name val="Noto Sans CJK SC"/>
      <family val="1"/>
    </font>
    <font>
      <sz val="9"/>
      <name val="Noto Sans CJK SC"/>
      <family val="1"/>
    </font>
    <font>
      <b/>
      <sz val="13"/>
      <color rgb="FFFFFFFF"/>
      <name val="Arial"/>
      <family val="2"/>
    </font>
    <font>
      <b/>
      <sz val="9"/>
      <color rgb="FFFFFFFF"/>
      <name val="Arial"/>
      <family val="2"/>
    </font>
    <font>
      <b/>
      <sz val="10"/>
      <color rgb="FFE2562C"/>
      <name val="Arial"/>
      <family val="2"/>
    </font>
    <font>
      <b/>
      <sz val="10"/>
      <color rgb="FF1F3864"/>
      <name val="Noto Sans CJK SC"/>
      <family val="1"/>
    </font>
    <font>
      <sz val="10"/>
      <name val="Noto Sans CJK SC"/>
      <family val="1"/>
    </font>
    <font>
      <b/>
      <sz val="10"/>
      <name val="Arial"/>
      <family val="2"/>
    </font>
    <font>
      <sz val="10"/>
      <name val="Arial"/>
      <family val="2"/>
    </font>
    <font>
      <b/>
      <sz val="10"/>
      <color rgb="FFE2562C"/>
      <name val="Noto Sans CJK SC"/>
      <family val="1"/>
    </font>
    <font>
      <sz val="10"/>
      <color rgb="FFE2562C"/>
      <name val="Arial"/>
      <family val="2"/>
    </font>
    <font>
      <sz val="10"/>
      <color rgb="FF2E75B6"/>
      <name val="Arial"/>
      <family val="2"/>
    </font>
    <font>
      <b/>
      <sz val="10"/>
      <color rgb="FF0F6E56"/>
      <name val="Noto Sans CJK SC"/>
      <family val="1"/>
    </font>
    <font>
      <sz val="10"/>
      <color rgb="FF0F6E56"/>
      <name val="Arial"/>
      <family val="2"/>
    </font>
    <font>
      <b/>
      <sz val="10"/>
      <color rgb="FF534AB7"/>
      <name val="Noto Sans CJK SC"/>
      <family val="1"/>
    </font>
    <font>
      <sz val="10"/>
      <color rgb="FF534AB7"/>
      <name val="Arial"/>
      <family val="2"/>
    </font>
    <font>
      <b/>
      <sz val="10"/>
      <color rgb="FFC00000"/>
      <name val="Arial"/>
      <family val="2"/>
    </font>
    <font>
      <b/>
      <sz val="10"/>
      <color rgb="FFC00000"/>
      <name val="Noto Sans CJK SC"/>
      <family val="1"/>
    </font>
    <font>
      <b/>
      <sz val="10"/>
      <color rgb="FFBA7517"/>
      <name val="Noto Sans CJK SC"/>
      <family val="1"/>
    </font>
    <font>
      <sz val="11"/>
      <name val="Calibri"/>
      <family val="2"/>
    </font>
    <font>
      <sz val="10"/>
      <name val="Calibri"/>
      <family val="3"/>
      <charset val="134"/>
    </font>
    <font>
      <sz val="9"/>
      <color rgb="FF1F3864"/>
      <name val="Noto Sans CJK SC"/>
      <family val="1"/>
    </font>
    <font>
      <sz val="10"/>
      <name val="Calibri"/>
      <family val="2"/>
    </font>
    <font>
      <b/>
      <sz val="10"/>
      <color rgb="FF0F6E56"/>
      <name val="Arial"/>
      <family val="2"/>
    </font>
    <font>
      <b/>
      <sz val="10"/>
      <color rgb="FF1F3864"/>
      <name val="宋体"/>
      <family val="3"/>
      <charset val="134"/>
    </font>
    <font>
      <sz val="10"/>
      <name val="宋体"/>
      <family val="3"/>
      <charset val="134"/>
    </font>
    <font>
      <sz val="10"/>
      <name val="宋体"/>
      <family val="1"/>
    </font>
    <font>
      <sz val="10"/>
      <name val="宋体"/>
      <family val="2"/>
    </font>
    <font>
      <sz val="10"/>
      <name val="Noto Sans CJK SC"/>
      <family val="3"/>
      <charset val="134"/>
    </font>
    <font>
      <b/>
      <sz val="10"/>
      <color rgb="FF1F3864"/>
      <name val="Noto Sans CJK SC"/>
      <family val="2"/>
    </font>
    <font>
      <sz val="10"/>
      <name val="Noto Sans CJK SC"/>
      <family val="2"/>
    </font>
    <font>
      <b/>
      <sz val="10"/>
      <color rgb="FF1F3864"/>
      <name val="Noto Sans CJK SC"/>
    </font>
    <font>
      <sz val="10"/>
      <name val="宋体"/>
      <family val="3"/>
      <charset val="134"/>
    </font>
    <font>
      <sz val="10"/>
      <name val="Arial"/>
      <family val="2"/>
    </font>
    <font>
      <sz val="10"/>
      <name val="Noto Sans CJK SC"/>
    </font>
    <font>
      <b/>
      <sz val="10"/>
      <color rgb="FF0F6E56"/>
      <name val="Arial"/>
      <family val="1"/>
    </font>
    <font>
      <sz val="10"/>
      <name val="Arial"/>
      <family val="1"/>
    </font>
    <font>
      <sz val="11"/>
      <name val="Calibri"/>
      <family val="1"/>
    </font>
    <font>
      <sz val="11"/>
      <name val="Calibri"/>
      <family val="1"/>
    </font>
    <font>
      <sz val="11"/>
      <name val="Calibri"/>
      <family val="2"/>
    </font>
    <font>
      <b/>
      <sz val="9"/>
      <color rgb="FFFFFFFF"/>
      <name val="Noto Sans CJK SC"/>
      <family val="2"/>
    </font>
    <font>
      <sz val="11"/>
      <name val="Calibri"/>
      <family val="2"/>
    </font>
    <font>
      <b/>
      <sz val="10"/>
      <color rgb="FFC00000"/>
      <name val="Arial"/>
      <family val="2"/>
    </font>
    <font>
      <b/>
      <sz val="10"/>
      <color rgb="FF0F6E56"/>
      <name val="Arial"/>
      <family val="2"/>
    </font>
    <font>
      <b/>
      <sz val="10"/>
      <color rgb="FFC00000"/>
      <name val="Noto Sans CJK SC"/>
    </font>
    <font>
      <b/>
      <sz val="10"/>
      <color rgb="FF0F6E56"/>
      <name val="Noto Sans CJK SC"/>
    </font>
    <font>
      <b/>
      <sz val="10"/>
      <color rgb="FFBA7517"/>
      <name val="Noto Sans CJK SC"/>
    </font>
    <font>
      <b/>
      <sz val="10"/>
      <color rgb="FF375623"/>
      <name val="Noto Sans CJK SC"/>
    </font>
    <font>
      <b/>
      <sz val="11"/>
      <color rgb="FFFFFFFF"/>
      <name val="Calibri"/>
      <family val="2"/>
    </font>
    <font>
      <sz val="11"/>
      <color rgb="FF000000"/>
      <name val="Calibri"/>
      <family val="2"/>
    </font>
    <font>
      <sz val="9"/>
      <color rgb="FF1F3864"/>
      <name val="Calibri"/>
      <family val="2"/>
    </font>
    <font>
      <b/>
      <sz val="13"/>
      <color rgb="FFFFFFFF"/>
      <name val="Calibri"/>
      <family val="2"/>
    </font>
    <font>
      <b/>
      <sz val="9"/>
      <color rgb="FFFFFFFF"/>
      <name val="Calibri"/>
      <family val="2"/>
    </font>
    <font>
      <b/>
      <sz val="10"/>
      <color rgb="FF0F6E56"/>
      <name val="Calibri"/>
      <family val="2"/>
    </font>
    <font>
      <sz val="10"/>
      <color rgb="FF000000"/>
      <name val="宋体"/>
      <family val="3"/>
      <charset val="134"/>
    </font>
    <font>
      <b/>
      <sz val="10"/>
      <color rgb="FF1F3864"/>
      <name val="宋体-简"/>
      <family val="1"/>
      <charset val="134"/>
    </font>
    <font>
      <b/>
      <sz val="10"/>
      <color rgb="FFC00000"/>
      <name val="Calibri"/>
      <family val="2"/>
    </font>
    <font>
      <sz val="10"/>
      <name val="宋体-简"/>
      <family val="1"/>
      <charset val="134"/>
    </font>
    <font>
      <b/>
      <sz val="10"/>
      <color rgb="FF0F6E56"/>
      <name val="宋体-简"/>
      <family val="1"/>
      <charset val="134"/>
    </font>
    <font>
      <b/>
      <sz val="10"/>
      <color rgb="FFC00000"/>
      <name val="宋体-简"/>
      <family val="1"/>
      <charset val="134"/>
    </font>
    <font>
      <sz val="10"/>
      <name val="Calibri"/>
      <family val="2"/>
    </font>
    <font>
      <b/>
      <sz val="10"/>
      <color rgb="FFBA7517"/>
      <name val="Calibri"/>
      <family val="2"/>
    </font>
    <font>
      <b/>
      <sz val="10"/>
      <color rgb="FF375623"/>
      <name val="Calibri"/>
      <family val="2"/>
    </font>
    <font>
      <b/>
      <sz val="11"/>
      <color rgb="FFFFFFFF"/>
      <name val="宋体"/>
      <family val="3"/>
      <charset val="134"/>
    </font>
    <font>
      <sz val="11"/>
      <color theme="1"/>
      <name val="Calibri"/>
      <family val="2"/>
    </font>
    <font>
      <sz val="9"/>
      <color rgb="FF1F3864"/>
      <name val="宋体"/>
      <family val="3"/>
      <charset val="134"/>
    </font>
    <font>
      <b/>
      <sz val="10"/>
      <color rgb="FF1F3864"/>
      <name val="宋体"/>
      <family val="1"/>
    </font>
    <font>
      <sz val="11"/>
      <name val="Calibri"/>
      <family val="2"/>
    </font>
    <font>
      <b/>
      <sz val="10"/>
      <color rgb="FF1F3864"/>
      <name val="宋体"/>
      <family val="3"/>
      <charset val="134"/>
    </font>
    <font>
      <b/>
      <sz val="10"/>
      <color rgb="FF0F6E56"/>
      <name val="宋体"/>
      <family val="3"/>
      <charset val="134"/>
    </font>
    <font>
      <b/>
      <sz val="10"/>
      <color rgb="FF0F6E56"/>
      <name val="Noto Sans CJK SC"/>
      <family val="3"/>
      <charset val="134"/>
    </font>
    <font>
      <sz val="10"/>
      <name val="Arial"/>
      <family val="3"/>
      <charset val="134"/>
    </font>
    <font>
      <b/>
      <sz val="11"/>
      <color rgb="FFFFFFFF"/>
      <name val="Noto Sans CJK SC"/>
      <family val="2"/>
      <charset val="134"/>
    </font>
    <font>
      <sz val="11"/>
      <color theme="1"/>
      <name val="Calibri"/>
      <family val="2"/>
      <charset val="1"/>
    </font>
    <font>
      <sz val="9"/>
      <color rgb="FF1F3864"/>
      <name val="Noto Sans CJK SC"/>
      <family val="2"/>
      <charset val="134"/>
    </font>
    <font>
      <sz val="10"/>
      <color rgb="FF000000"/>
      <name val="等线"/>
      <family val="3"/>
      <charset val="134"/>
    </font>
    <font>
      <sz val="10"/>
      <name val="等线"/>
      <family val="3"/>
      <charset val="134"/>
    </font>
    <font>
      <b/>
      <sz val="10"/>
      <color rgb="FF0F6E56"/>
      <name val="Noto Sans CJK SC"/>
      <family val="2"/>
      <charset val="134"/>
    </font>
    <font>
      <b/>
      <sz val="10"/>
      <color rgb="FF000000"/>
      <name val="Arial"/>
      <family val="2"/>
    </font>
    <font>
      <sz val="10"/>
      <color rgb="FF000000"/>
      <name val="Arial"/>
      <family val="2"/>
    </font>
    <font>
      <sz val="11"/>
      <color theme="1"/>
      <name val="等线"/>
      <family val="2"/>
    </font>
    <font>
      <b/>
      <sz val="10"/>
      <color rgb="FF1F3864"/>
      <name val="Calibri"/>
      <family val="2"/>
      <charset val="134"/>
    </font>
    <font>
      <sz val="10"/>
      <name val="Calibri"/>
      <family val="2"/>
      <charset val="134"/>
    </font>
    <font>
      <b/>
      <sz val="10"/>
      <color rgb="FF1F3864"/>
      <name val="Calibri"/>
      <family val="1"/>
    </font>
    <font>
      <sz val="10"/>
      <name val="Calibri"/>
      <family val="1"/>
    </font>
    <font>
      <sz val="10"/>
      <name val="Noto Sans CJK SC"/>
      <family val="2"/>
      <charset val="134"/>
    </font>
    <font>
      <b/>
      <sz val="10"/>
      <color rgb="FF1F3864"/>
      <name val="Calibri"/>
      <family val="2"/>
    </font>
    <font>
      <b/>
      <sz val="10"/>
      <color rgb="FF1F3864"/>
      <name val="Calibri"/>
      <family val="2"/>
    </font>
    <font>
      <sz val="10"/>
      <name val="Calibri"/>
      <family val="2"/>
    </font>
    <font>
      <b/>
      <sz val="10"/>
      <color rgb="FFC00000"/>
      <name val="Noto Sans CJK SC"/>
      <family val="2"/>
      <charset val="134"/>
    </font>
    <font>
      <sz val="10"/>
      <name val="Arial"/>
      <family val="2"/>
      <charset val="134"/>
    </font>
    <font>
      <sz val="10"/>
      <name val="Calibri"/>
      <family val="2"/>
    </font>
    <font>
      <sz val="10"/>
      <name val="Noto Sans CJK SC"/>
    </font>
    <font>
      <b/>
      <sz val="10"/>
      <color rgb="FF0F6E56"/>
      <name val="宋体"/>
      <family val="2"/>
    </font>
    <font>
      <b/>
      <sz val="10"/>
      <color rgb="FFC00000"/>
      <name val="Noto Sans CJK SC"/>
      <family val="2"/>
    </font>
    <font>
      <b/>
      <sz val="10"/>
      <color rgb="FF1F3864"/>
      <name val="宋体"/>
      <family val="2"/>
    </font>
    <font>
      <b/>
      <sz val="10"/>
      <color rgb="FF1F3864"/>
      <name val="Noto Sans CJK SC"/>
      <family val="2"/>
      <charset val="134"/>
    </font>
    <font>
      <sz val="10"/>
      <name val="等线"/>
      <family val="2"/>
      <charset val="134"/>
    </font>
    <font>
      <sz val="10"/>
      <name val="等线"/>
      <family val="1"/>
    </font>
    <font>
      <sz val="10"/>
      <name val="等线"/>
      <family val="2"/>
    </font>
    <font>
      <b/>
      <sz val="10"/>
      <color rgb="FF1F3864"/>
      <name val="宋体-简"/>
      <family val="2"/>
    </font>
    <font>
      <sz val="10"/>
      <color rgb="FFFF0000"/>
      <name val="宋体"/>
      <family val="3"/>
      <charset val="134"/>
    </font>
    <font>
      <sz val="11"/>
      <color theme="1"/>
      <name val="Calibri"/>
      <family val="2"/>
    </font>
    <font>
      <b/>
      <sz val="9"/>
      <color rgb="FFFFFF99"/>
      <name val="Arial"/>
      <family val="2"/>
    </font>
    <font>
      <b/>
      <sz val="11"/>
      <color rgb="FFFFFFFF"/>
      <name val="Arial"/>
      <family val="2"/>
    </font>
    <font>
      <sz val="9"/>
      <color rgb="FF000000"/>
      <name val="Arial"/>
      <family val="2"/>
    </font>
    <font>
      <b/>
      <sz val="14"/>
      <color rgb="FFFFFFFF"/>
      <name val="Arial"/>
      <family val="2"/>
    </font>
    <font>
      <b/>
      <sz val="9"/>
      <color rgb="FFFFFFFF"/>
      <name val="Apple Color Emoji"/>
    </font>
    <font>
      <b/>
      <sz val="13"/>
      <color rgb="FFFFFFFF"/>
      <name val="Noto Sans CJK SC"/>
      <family val="1"/>
    </font>
    <font>
      <b/>
      <sz val="11"/>
      <color rgb="FFFFFFFF"/>
      <name val="Noto Sans CJK SC"/>
    </font>
    <font>
      <sz val="9"/>
      <color rgb="FF1F3864"/>
      <name val="Arial"/>
      <family val="2"/>
    </font>
    <font>
      <b/>
      <sz val="13"/>
      <color rgb="FFFFFFFF"/>
      <name val="Noto Sans CJK SC"/>
    </font>
    <font>
      <b/>
      <sz val="9"/>
      <color rgb="FFFFFFFF"/>
      <name val="Noto Sans CJK SC"/>
    </font>
    <font>
      <sz val="9"/>
      <color rgb="FF1F3864"/>
      <name val="Noto Sans CJK SC"/>
    </font>
    <font>
      <b/>
      <sz val="10"/>
      <color rgb="FF0F6E56"/>
      <name val="微软雅黑"/>
      <family val="2"/>
      <charset val="134"/>
    </font>
    <font>
      <sz val="10"/>
      <color rgb="FF000000"/>
      <name val="微软雅黑"/>
      <family val="2"/>
      <charset val="134"/>
    </font>
    <font>
      <b/>
      <sz val="11"/>
      <color rgb="FFFFFFFF"/>
      <name val="微软雅黑"/>
      <family val="2"/>
      <charset val="134"/>
    </font>
    <font>
      <sz val="9"/>
      <color rgb="FF1F3864"/>
      <name val="微软雅黑"/>
      <family val="2"/>
      <charset val="134"/>
    </font>
    <font>
      <sz val="11"/>
      <color rgb="FF000000"/>
      <name val="宋体-简"/>
      <family val="1"/>
      <charset val="134"/>
    </font>
    <font>
      <sz val="9"/>
      <name val="宋体"/>
      <family val="3"/>
      <charset val="134"/>
    </font>
  </fonts>
  <fills count="49">
    <fill>
      <patternFill patternType="none"/>
    </fill>
    <fill>
      <patternFill patternType="gray125"/>
    </fill>
    <fill>
      <patternFill patternType="solid">
        <fgColor rgb="FF1F3864"/>
        <bgColor rgb="FF1F4E79"/>
      </patternFill>
    </fill>
    <fill>
      <patternFill patternType="solid">
        <fgColor rgb="FF2E75B6"/>
        <bgColor rgb="FF0066CC"/>
      </patternFill>
    </fill>
    <fill>
      <patternFill patternType="solid">
        <fgColor rgb="FFD6E4F7"/>
        <bgColor rgb="FFD9EAD3"/>
      </patternFill>
    </fill>
    <fill>
      <patternFill patternType="solid">
        <fgColor rgb="FF375623"/>
        <bgColor rgb="FF333300"/>
      </patternFill>
    </fill>
    <fill>
      <patternFill patternType="solid">
        <fgColor rgb="FFFFFFFF"/>
        <bgColor rgb="FFFAFAFA"/>
      </patternFill>
    </fill>
    <fill>
      <patternFill patternType="solid">
        <fgColor rgb="FFFFFDE7"/>
        <bgColor rgb="FFFAFAFA"/>
      </patternFill>
    </fill>
    <fill>
      <patternFill patternType="solid">
        <fgColor rgb="FFEBF4EA"/>
        <bgColor rgb="FFE8F4FD"/>
      </patternFill>
    </fill>
    <fill>
      <patternFill patternType="solid">
        <fgColor rgb="FFF5F5F5"/>
        <bgColor rgb="FFFAFAFA"/>
      </patternFill>
    </fill>
    <fill>
      <patternFill patternType="solid">
        <fgColor rgb="FFD9EAD3"/>
        <bgColor rgb="FFD6E4F7"/>
      </patternFill>
    </fill>
    <fill>
      <patternFill patternType="solid">
        <fgColor rgb="FFFFE08A"/>
        <bgColor rgb="FFFFFF99"/>
      </patternFill>
    </fill>
    <fill>
      <patternFill patternType="solid">
        <fgColor rgb="FFFAFAFA"/>
        <bgColor rgb="FFFFFFFF"/>
      </patternFill>
    </fill>
    <fill>
      <patternFill patternType="solid">
        <fgColor rgb="FFE2562C"/>
        <bgColor rgb="FFBA7517"/>
      </patternFill>
    </fill>
    <fill>
      <patternFill patternType="solid">
        <fgColor rgb="FFFDE9E4"/>
        <bgColor rgb="FFFCE4EC"/>
      </patternFill>
    </fill>
    <fill>
      <patternFill patternType="solid">
        <fgColor rgb="FF1F3864"/>
        <bgColor rgb="FF333399"/>
      </patternFill>
    </fill>
    <fill>
      <patternFill patternType="solid">
        <fgColor rgb="FF888888"/>
        <bgColor rgb="FF969696"/>
      </patternFill>
    </fill>
    <fill>
      <patternFill patternType="solid">
        <fgColor rgb="FFBA7517"/>
        <bgColor rgb="FFE2562C"/>
      </patternFill>
    </fill>
    <fill>
      <patternFill patternType="solid">
        <fgColor rgb="FFC00000"/>
        <bgColor rgb="FF800000"/>
      </patternFill>
    </fill>
    <fill>
      <patternFill patternType="solid">
        <fgColor rgb="FF534AB7"/>
        <bgColor rgb="FF333399"/>
      </patternFill>
    </fill>
    <fill>
      <patternFill patternType="solid">
        <fgColor rgb="FFFFFFFF"/>
        <bgColor rgb="FFF2F2F2"/>
      </patternFill>
    </fill>
    <fill>
      <patternFill patternType="solid">
        <fgColor rgb="FF0F6E56"/>
        <bgColor rgb="FF008080"/>
      </patternFill>
    </fill>
    <fill>
      <patternFill patternType="solid">
        <fgColor rgb="FFF2F2F2"/>
        <bgColor rgb="FFEBF4EA"/>
      </patternFill>
    </fill>
    <fill>
      <patternFill patternType="solid">
        <fgColor rgb="FFFCE4EC"/>
        <bgColor rgb="FFFDE9E4"/>
      </patternFill>
    </fill>
    <fill>
      <patternFill patternType="solid">
        <fgColor rgb="FF0F6E56"/>
        <bgColor auto="1"/>
      </patternFill>
    </fill>
    <fill>
      <patternFill patternType="solid">
        <fgColor rgb="FFE1F5EE"/>
        <bgColor auto="1"/>
      </patternFill>
    </fill>
    <fill>
      <patternFill patternType="solid">
        <fgColor rgb="FF1F3864"/>
        <bgColor auto="1"/>
      </patternFill>
    </fill>
    <fill>
      <patternFill patternType="solid">
        <fgColor rgb="FFE1F5EE"/>
        <bgColor auto="1"/>
      </patternFill>
    </fill>
    <fill>
      <patternFill patternType="none">
        <fgColor auto="1"/>
        <bgColor auto="1"/>
      </patternFill>
    </fill>
    <fill>
      <patternFill patternType="solid">
        <fgColor rgb="FFC00000"/>
        <bgColor auto="1"/>
      </patternFill>
    </fill>
    <fill>
      <patternFill patternType="solid">
        <fgColor rgb="FFFCE4EC"/>
        <bgColor auto="1"/>
      </patternFill>
    </fill>
    <fill>
      <patternFill patternType="solid">
        <fgColor rgb="FFFCE4EC"/>
        <bgColor auto="1"/>
      </patternFill>
    </fill>
    <fill>
      <patternFill patternType="solid">
        <fgColor rgb="FFE1F5EE"/>
        <bgColor rgb="FFEBF4EA"/>
      </patternFill>
    </fill>
    <fill>
      <patternFill patternType="solid">
        <fgColor rgb="FFFCE4EC"/>
        <bgColor rgb="FF000000"/>
      </patternFill>
    </fill>
    <fill>
      <patternFill patternType="solid">
        <fgColor rgb="FFFFFFFF"/>
        <bgColor rgb="FFFDE9E4"/>
      </patternFill>
    </fill>
    <fill>
      <patternFill patternType="solid">
        <fgColor rgb="FFFFFFFF"/>
        <bgColor rgb="FFEBF4EA"/>
      </patternFill>
    </fill>
    <fill>
      <patternFill patternType="solid">
        <fgColor rgb="FF0F6E56"/>
        <bgColor rgb="FF000000"/>
      </patternFill>
    </fill>
    <fill>
      <patternFill patternType="solid">
        <fgColor rgb="FFE1F5EE"/>
        <bgColor rgb="FF000000"/>
      </patternFill>
    </fill>
    <fill>
      <patternFill patternType="solid">
        <fgColor rgb="FF1F3864"/>
        <bgColor rgb="FF000000"/>
      </patternFill>
    </fill>
    <fill>
      <patternFill patternType="solid">
        <fgColor rgb="FFC00000"/>
        <bgColor rgb="FF000000"/>
      </patternFill>
    </fill>
    <fill>
      <patternFill patternType="none"/>
    </fill>
    <fill>
      <patternFill patternType="solid">
        <fgColor rgb="FFFFFFFF"/>
        <bgColor rgb="FF000000"/>
      </patternFill>
    </fill>
    <fill>
      <patternFill patternType="solid">
        <fgColor rgb="FFFFFFFF"/>
        <bgColor rgb="FFEBF4EA"/>
      </patternFill>
    </fill>
    <fill>
      <patternFill patternType="solid">
        <fgColor rgb="FFFFFFFF"/>
        <bgColor rgb="FFF2F2F2"/>
      </patternFill>
    </fill>
    <fill>
      <patternFill patternType="none"/>
    </fill>
    <fill>
      <patternFill patternType="solid">
        <fgColor rgb="FFFFFFFF"/>
        <bgColor rgb="FFFDE9E4"/>
      </patternFill>
    </fill>
    <fill>
      <patternFill patternType="solid">
        <fgColor rgb="FFE1F5EE"/>
        <bgColor rgb="FFEBF4EA"/>
      </patternFill>
    </fill>
    <fill>
      <patternFill patternType="solid">
        <fgColor rgb="FFFCE4EC"/>
        <bgColor rgb="FFFDE9E4"/>
      </patternFill>
    </fill>
    <fill>
      <patternFill patternType="solid">
        <fgColor rgb="FFFFFFFF"/>
        <bgColor rgb="FF000000"/>
      </patternFill>
    </fill>
  </fills>
  <borders count="21">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style="thin">
        <color rgb="FFBFBFBF"/>
      </right>
      <top/>
      <bottom style="thin">
        <color rgb="FFBFBFBF"/>
      </bottom>
      <diagonal/>
    </border>
    <border>
      <left/>
      <right/>
      <top style="thin">
        <color rgb="FFBFBFBF"/>
      </top>
      <bottom style="thin">
        <color rgb="FFBFBFBF"/>
      </bottom>
      <diagonal/>
    </border>
    <border>
      <left style="thin">
        <color rgb="FFBFBFBF"/>
      </left>
      <right style="thin">
        <color rgb="FFBFBFBF"/>
      </right>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right style="thin">
        <color rgb="FFBFBFBF"/>
      </right>
      <top/>
      <bottom style="thin">
        <color rgb="FFBFBFBF"/>
      </bottom>
      <diagonal/>
    </border>
    <border>
      <left/>
      <right/>
      <top/>
      <bottom/>
      <diagonal/>
    </border>
    <border>
      <left/>
      <right/>
      <top/>
      <bottom/>
      <diagonal/>
    </border>
    <border>
      <left style="thin">
        <color rgb="FFBFBFBF"/>
      </left>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bottom style="thin">
        <color rgb="FFBFBFBF"/>
      </bottom>
      <diagonal/>
    </border>
    <border>
      <left style="thin">
        <color rgb="FFBFBFBF"/>
      </left>
      <right/>
      <top/>
      <bottom style="thin">
        <color rgb="FFBFBFBF"/>
      </bottom>
      <diagonal/>
    </border>
    <border>
      <left/>
      <right/>
      <top/>
      <bottom style="thin">
        <color rgb="FFBFBFBF"/>
      </bottom>
      <diagonal/>
    </border>
    <border>
      <left/>
      <right style="thin">
        <color rgb="FFBFBFBF"/>
      </right>
      <top/>
      <bottom style="thin">
        <color rgb="FFBFBFBF"/>
      </bottom>
      <diagonal/>
    </border>
    <border>
      <left/>
      <right style="thin">
        <color rgb="FFBFBFBF"/>
      </right>
      <top/>
      <bottom style="thin">
        <color rgb="FFBFBFBF"/>
      </bottom>
      <diagonal/>
    </border>
    <border>
      <left/>
      <right/>
      <top/>
      <bottom/>
      <diagonal/>
    </border>
  </borders>
  <cellStyleXfs count="1">
    <xf numFmtId="0" fontId="0" fillId="0" borderId="20" applyBorder="0"/>
  </cellStyleXfs>
  <cellXfs count="362">
    <xf numFmtId="0" fontId="0" fillId="0" borderId="0" xfId="0" applyBorder="1" applyAlignment="1">
      <alignment vertical="center"/>
    </xf>
    <xf numFmtId="0" fontId="2" fillId="3" borderId="2" xfId="0" applyFont="1" applyFill="1" applyBorder="1" applyAlignment="1">
      <alignment horizontal="center" vertical="center" wrapText="1"/>
    </xf>
    <xf numFmtId="0" fontId="3" fillId="4" borderId="2" xfId="0" applyFont="1" applyFill="1" applyBorder="1" applyAlignment="1">
      <alignment horizontal="left" vertical="center" wrapText="1"/>
    </xf>
    <xf numFmtId="0" fontId="2" fillId="5" borderId="2"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7" fillId="6" borderId="2" xfId="0" applyFont="1" applyFill="1" applyBorder="1" applyAlignment="1">
      <alignment horizontal="left" vertical="center" wrapText="1"/>
    </xf>
    <xf numFmtId="9" fontId="8" fillId="6" borderId="2" xfId="0" applyNumberFormat="1" applyFont="1" applyFill="1" applyBorder="1" applyAlignment="1">
      <alignment horizontal="center" vertical="center" wrapText="1"/>
    </xf>
    <xf numFmtId="0" fontId="8" fillId="6" borderId="2" xfId="0" applyFont="1" applyFill="1" applyBorder="1" applyAlignment="1">
      <alignment horizontal="left" vertical="center" wrapText="1"/>
    </xf>
    <xf numFmtId="0" fontId="8" fillId="7" borderId="2" xfId="0" applyFont="1" applyFill="1" applyBorder="1" applyAlignment="1">
      <alignment horizontal="left" vertical="center" wrapText="1"/>
    </xf>
    <xf numFmtId="0" fontId="9" fillId="8" borderId="2" xfId="0" applyFont="1" applyFill="1" applyBorder="1" applyAlignment="1">
      <alignment horizontal="left" vertical="center" wrapText="1"/>
    </xf>
    <xf numFmtId="0" fontId="10" fillId="9" borderId="2" xfId="0" applyFont="1" applyFill="1" applyBorder="1" applyAlignment="1">
      <alignment horizontal="center" vertical="center" wrapText="1"/>
    </xf>
    <xf numFmtId="2" fontId="8" fillId="6" borderId="2" xfId="0" applyNumberFormat="1" applyFont="1" applyFill="1" applyBorder="1" applyAlignment="1">
      <alignment horizontal="center" vertical="center" wrapText="1"/>
    </xf>
    <xf numFmtId="0" fontId="9" fillId="6" borderId="2" xfId="0" applyFont="1" applyFill="1" applyBorder="1" applyAlignment="1">
      <alignment horizontal="left" vertical="center" wrapText="1"/>
    </xf>
    <xf numFmtId="0" fontId="6" fillId="8" borderId="2" xfId="0" applyFont="1" applyFill="1" applyBorder="1" applyAlignment="1">
      <alignment horizontal="center" vertical="center" wrapText="1"/>
    </xf>
    <xf numFmtId="0" fontId="7" fillId="8" borderId="2" xfId="0" applyFont="1" applyFill="1" applyBorder="1" applyAlignment="1">
      <alignment horizontal="left" vertical="center" wrapText="1"/>
    </xf>
    <xf numFmtId="9" fontId="8" fillId="8" borderId="2" xfId="0" applyNumberFormat="1" applyFont="1" applyFill="1" applyBorder="1" applyAlignment="1">
      <alignment horizontal="center" vertical="center" wrapText="1"/>
    </xf>
    <xf numFmtId="0" fontId="8" fillId="8" borderId="2" xfId="0" applyFont="1" applyFill="1" applyBorder="1" applyAlignment="1">
      <alignment horizontal="left" vertical="center" wrapText="1"/>
    </xf>
    <xf numFmtId="0" fontId="11" fillId="9" borderId="2" xfId="0" applyFont="1" applyFill="1" applyBorder="1" applyAlignment="1">
      <alignment horizontal="center" vertical="center" wrapText="1"/>
    </xf>
    <xf numFmtId="2" fontId="8" fillId="8" borderId="2" xfId="0" applyNumberFormat="1" applyFont="1" applyFill="1" applyBorder="1" applyAlignment="1">
      <alignment horizontal="center" vertical="center" wrapText="1"/>
    </xf>
    <xf numFmtId="2" fontId="13" fillId="10" borderId="2" xfId="0" applyNumberFormat="1" applyFont="1" applyFill="1" applyBorder="1" applyAlignment="1">
      <alignment horizontal="center" vertical="center" wrapText="1"/>
    </xf>
    <xf numFmtId="0" fontId="14" fillId="6" borderId="2" xfId="0" applyFont="1" applyFill="1" applyBorder="1" applyAlignment="1">
      <alignment horizontal="center" vertical="center" wrapText="1"/>
    </xf>
    <xf numFmtId="0" fontId="9" fillId="4" borderId="2" xfId="0" applyFont="1" applyFill="1" applyBorder="1" applyAlignment="1">
      <alignment horizontal="left" vertical="center" wrapText="1"/>
    </xf>
    <xf numFmtId="0" fontId="14" fillId="4" borderId="2" xfId="0" applyFont="1" applyFill="1" applyBorder="1" applyAlignment="1">
      <alignment horizontal="center" vertical="center" wrapText="1"/>
    </xf>
    <xf numFmtId="0" fontId="7" fillId="4" borderId="2" xfId="0" applyFont="1" applyFill="1" applyBorder="1" applyAlignment="1">
      <alignment horizontal="left" vertical="center" wrapText="1"/>
    </xf>
    <xf numFmtId="9" fontId="8" fillId="4" borderId="2" xfId="0" applyNumberFormat="1" applyFont="1" applyFill="1" applyBorder="1" applyAlignment="1">
      <alignment horizontal="center" vertical="center" wrapText="1"/>
    </xf>
    <xf numFmtId="0" fontId="8" fillId="4" borderId="2" xfId="0" applyFont="1" applyFill="1" applyBorder="1" applyAlignment="1">
      <alignment horizontal="left" vertical="center" wrapText="1"/>
    </xf>
    <xf numFmtId="2" fontId="8" fillId="4" borderId="2" xfId="0" applyNumberFormat="1" applyFont="1" applyFill="1" applyBorder="1" applyAlignment="1">
      <alignment horizontal="center" vertical="center" wrapText="1"/>
    </xf>
    <xf numFmtId="2" fontId="13" fillId="4" borderId="2" xfId="0" applyNumberFormat="1" applyFont="1" applyFill="1" applyBorder="1" applyAlignment="1">
      <alignment horizontal="center" vertical="center" wrapText="1"/>
    </xf>
    <xf numFmtId="2" fontId="15" fillId="11" borderId="2" xfId="0" applyNumberFormat="1" applyFont="1" applyFill="1" applyBorder="1" applyAlignment="1">
      <alignment horizontal="center" vertical="center" wrapText="1"/>
    </xf>
    <xf numFmtId="0" fontId="19" fillId="0" borderId="2" xfId="0" applyFont="1" applyBorder="1" applyAlignment="1">
      <alignment horizontal="left" vertical="center" wrapText="1"/>
    </xf>
    <xf numFmtId="0" fontId="20" fillId="0" borderId="20" xfId="0" applyFont="1"/>
    <xf numFmtId="0" fontId="2" fillId="0" borderId="4" xfId="0" applyFont="1" applyBorder="1" applyAlignment="1">
      <alignment horizontal="center" vertical="center" wrapText="1"/>
    </xf>
    <xf numFmtId="0" fontId="2" fillId="5" borderId="5"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16" borderId="4" xfId="0" applyFont="1" applyFill="1" applyBorder="1" applyAlignment="1">
      <alignment horizontal="center" vertical="center" wrapText="1"/>
    </xf>
    <xf numFmtId="0" fontId="2" fillId="17" borderId="4" xfId="0" applyFont="1" applyFill="1" applyBorder="1" applyAlignment="1">
      <alignment horizontal="center" vertical="center" wrapText="1"/>
    </xf>
    <xf numFmtId="0" fontId="2" fillId="18" borderId="4" xfId="0" applyFont="1" applyFill="1" applyBorder="1" applyAlignment="1">
      <alignment horizontal="center" vertical="center" wrapText="1"/>
    </xf>
    <xf numFmtId="0" fontId="2" fillId="19" borderId="4" xfId="0" applyFont="1" applyFill="1" applyBorder="1" applyAlignment="1">
      <alignment horizontal="center" vertical="center" wrapText="1"/>
    </xf>
    <xf numFmtId="0" fontId="2" fillId="15" borderId="4" xfId="0" applyFont="1" applyFill="1" applyBorder="1" applyAlignment="1">
      <alignment horizontal="center" vertical="center" wrapText="1"/>
    </xf>
    <xf numFmtId="0" fontId="2" fillId="15" borderId="5" xfId="0" applyFont="1" applyFill="1" applyBorder="1" applyAlignment="1">
      <alignment horizontal="center" vertical="center" wrapText="1"/>
    </xf>
    <xf numFmtId="0" fontId="24" fillId="15" borderId="5" xfId="0" applyFont="1" applyFill="1" applyBorder="1" applyAlignment="1">
      <alignment horizontal="center" vertical="center" wrapText="1"/>
    </xf>
    <xf numFmtId="0" fontId="25" fillId="14" borderId="4" xfId="0" applyFont="1" applyFill="1" applyBorder="1" applyAlignment="1">
      <alignment horizontal="center" vertical="center" wrapText="1"/>
    </xf>
    <xf numFmtId="0" fontId="26" fillId="14" borderId="5" xfId="0" applyFont="1" applyFill="1" applyBorder="1" applyAlignment="1">
      <alignment vertical="center" wrapText="1"/>
    </xf>
    <xf numFmtId="0" fontId="27" fillId="14" borderId="5" xfId="0" applyFont="1" applyFill="1" applyBorder="1" applyAlignment="1">
      <alignment vertical="center" wrapText="1"/>
    </xf>
    <xf numFmtId="0" fontId="28" fillId="14" borderId="5" xfId="0" applyFont="1" applyFill="1" applyBorder="1" applyAlignment="1">
      <alignment horizontal="center" vertical="center" wrapText="1"/>
    </xf>
    <xf numFmtId="0" fontId="29" fillId="14" borderId="5" xfId="0" applyFont="1" applyFill="1" applyBorder="1" applyAlignment="1">
      <alignment horizontal="center" vertical="center" wrapText="1"/>
    </xf>
    <xf numFmtId="0" fontId="27" fillId="14" borderId="5" xfId="0" applyFont="1" applyFill="1" applyBorder="1" applyAlignment="1">
      <alignment horizontal="center" vertical="center" wrapText="1"/>
    </xf>
    <xf numFmtId="0" fontId="29" fillId="14" borderId="5" xfId="0" applyFont="1" applyFill="1" applyBorder="1" applyAlignment="1">
      <alignment vertical="center" wrapText="1"/>
    </xf>
    <xf numFmtId="0" fontId="25" fillId="20" borderId="4" xfId="0" applyFont="1" applyFill="1" applyBorder="1" applyAlignment="1">
      <alignment horizontal="center" vertical="center" wrapText="1"/>
    </xf>
    <xf numFmtId="0" fontId="26" fillId="20" borderId="5" xfId="0" applyFont="1" applyFill="1" applyBorder="1" applyAlignment="1">
      <alignment vertical="center" wrapText="1"/>
    </xf>
    <xf numFmtId="0" fontId="27" fillId="20" borderId="5" xfId="0" applyFont="1" applyFill="1" applyBorder="1" applyAlignment="1">
      <alignment vertical="center" wrapText="1"/>
    </xf>
    <xf numFmtId="0" fontId="28" fillId="20" borderId="5" xfId="0" applyFont="1" applyFill="1" applyBorder="1" applyAlignment="1">
      <alignment horizontal="center" vertical="center" wrapText="1"/>
    </xf>
    <xf numFmtId="0" fontId="29" fillId="20" borderId="5" xfId="0" applyFont="1" applyFill="1" applyBorder="1" applyAlignment="1">
      <alignment horizontal="center" vertical="center" wrapText="1"/>
    </xf>
    <xf numFmtId="0" fontId="27" fillId="20" borderId="5" xfId="0" applyFont="1" applyFill="1" applyBorder="1" applyAlignment="1">
      <alignment horizontal="center" vertical="center" wrapText="1"/>
    </xf>
    <xf numFmtId="0" fontId="29" fillId="20" borderId="5" xfId="0" applyFont="1" applyFill="1" applyBorder="1" applyAlignment="1">
      <alignment vertical="center" wrapText="1"/>
    </xf>
    <xf numFmtId="0" fontId="20" fillId="15" borderId="4" xfId="0" applyFont="1" applyFill="1" applyBorder="1"/>
    <xf numFmtId="0" fontId="20" fillId="15" borderId="5" xfId="0" applyFont="1" applyFill="1" applyBorder="1"/>
    <xf numFmtId="0" fontId="30" fillId="14" borderId="5" xfId="0" applyFont="1" applyFill="1" applyBorder="1" applyAlignment="1">
      <alignment horizontal="center" vertical="center" wrapText="1"/>
    </xf>
    <xf numFmtId="0" fontId="18" fillId="14" borderId="5" xfId="0" applyFont="1" applyFill="1" applyBorder="1" applyAlignment="1">
      <alignment vertical="center" wrapText="1"/>
    </xf>
    <xf numFmtId="0" fontId="31" fillId="13" borderId="5" xfId="0" applyFont="1" applyFill="1" applyBorder="1" applyAlignment="1">
      <alignment horizontal="center" vertical="center" wrapText="1"/>
    </xf>
    <xf numFmtId="0" fontId="20" fillId="22" borderId="5" xfId="0" applyFont="1" applyFill="1" applyBorder="1" applyAlignment="1">
      <alignment horizontal="center" vertical="center" wrapText="1"/>
    </xf>
    <xf numFmtId="0" fontId="20" fillId="22" borderId="3" xfId="0" applyFont="1" applyFill="1" applyBorder="1" applyAlignment="1">
      <alignment horizontal="center" vertical="center" wrapText="1"/>
    </xf>
    <xf numFmtId="0" fontId="14" fillId="20" borderId="5" xfId="0" applyFont="1" applyFill="1" applyBorder="1" applyAlignment="1">
      <alignment horizontal="center" vertical="center" wrapText="1"/>
    </xf>
    <xf numFmtId="0" fontId="18" fillId="20" borderId="5" xfId="0" applyFont="1" applyFill="1" applyBorder="1" applyAlignment="1">
      <alignment vertical="center" wrapText="1"/>
    </xf>
    <xf numFmtId="0" fontId="32" fillId="3" borderId="5" xfId="0" applyFont="1" applyFill="1" applyBorder="1" applyAlignment="1">
      <alignment horizontal="center" vertical="center" wrapText="1"/>
    </xf>
    <xf numFmtId="0" fontId="33" fillId="14" borderId="5" xfId="0" applyFont="1" applyFill="1" applyBorder="1" applyAlignment="1">
      <alignment horizontal="center" vertical="center" wrapText="1"/>
    </xf>
    <xf numFmtId="0" fontId="34" fillId="21" borderId="5" xfId="0" applyFont="1" applyFill="1" applyBorder="1" applyAlignment="1">
      <alignment horizontal="center" vertical="center" wrapText="1"/>
    </xf>
    <xf numFmtId="0" fontId="30" fillId="20" borderId="5" xfId="0" applyFont="1" applyFill="1" applyBorder="1" applyAlignment="1">
      <alignment horizontal="center" vertical="center" wrapText="1"/>
    </xf>
    <xf numFmtId="0" fontId="14" fillId="14" borderId="5" xfId="0" applyFont="1" applyFill="1" applyBorder="1" applyAlignment="1">
      <alignment horizontal="center" vertical="center" wrapText="1"/>
    </xf>
    <xf numFmtId="0" fontId="28" fillId="14" borderId="5" xfId="0" applyFont="1" applyFill="1" applyBorder="1" applyAlignment="1">
      <alignment vertical="center" wrapText="1"/>
    </xf>
    <xf numFmtId="0" fontId="35" fillId="20" borderId="5" xfId="0" applyFont="1" applyFill="1" applyBorder="1" applyAlignment="1">
      <alignment horizontal="center" vertical="center" wrapText="1"/>
    </xf>
    <xf numFmtId="0" fontId="28" fillId="20" borderId="5" xfId="0" applyFont="1" applyFill="1" applyBorder="1" applyAlignment="1">
      <alignment vertical="center" wrapText="1"/>
    </xf>
    <xf numFmtId="0" fontId="36" fillId="19" borderId="5" xfId="0" applyFont="1" applyFill="1" applyBorder="1" applyAlignment="1">
      <alignment horizontal="center" vertical="center" wrapText="1"/>
    </xf>
    <xf numFmtId="0" fontId="2" fillId="18" borderId="5" xfId="0" applyFont="1" applyFill="1" applyBorder="1" applyAlignment="1">
      <alignment horizontal="center" vertical="center" wrapText="1"/>
    </xf>
    <xf numFmtId="0" fontId="37" fillId="23" borderId="4" xfId="0" applyFont="1" applyFill="1" applyBorder="1" applyAlignment="1">
      <alignment horizontal="center" vertical="center" wrapText="1"/>
    </xf>
    <xf numFmtId="0" fontId="27" fillId="23" borderId="5" xfId="0" applyFont="1" applyFill="1" applyBorder="1" applyAlignment="1">
      <alignment vertical="center" wrapText="1"/>
    </xf>
    <xf numFmtId="0" fontId="25" fillId="23" borderId="5" xfId="0" applyFont="1" applyFill="1" applyBorder="1" applyAlignment="1">
      <alignment horizontal="center" vertical="center" wrapText="1"/>
    </xf>
    <xf numFmtId="0" fontId="27" fillId="23" borderId="5" xfId="0" applyFont="1" applyFill="1" applyBorder="1" applyAlignment="1">
      <alignment horizontal="center" vertical="center" wrapText="1"/>
    </xf>
    <xf numFmtId="0" fontId="38" fillId="23" borderId="5" xfId="0" applyFont="1" applyFill="1" applyBorder="1" applyAlignment="1">
      <alignment horizontal="center" vertical="center" wrapText="1"/>
    </xf>
    <xf numFmtId="0" fontId="37" fillId="20" borderId="4" xfId="0" applyFont="1" applyFill="1" applyBorder="1" applyAlignment="1">
      <alignment horizontal="center" vertical="center" wrapText="1"/>
    </xf>
    <xf numFmtId="0" fontId="25" fillId="20" borderId="5" xfId="0" applyFont="1" applyFill="1" applyBorder="1" applyAlignment="1">
      <alignment horizontal="center" vertical="center" wrapText="1"/>
    </xf>
    <xf numFmtId="0" fontId="39" fillId="20" borderId="5" xfId="0" applyFont="1" applyFill="1" applyBorder="1" applyAlignment="1">
      <alignment horizontal="center" vertical="center" wrapText="1"/>
    </xf>
    <xf numFmtId="0" fontId="39" fillId="23" borderId="5" xfId="0" applyFont="1" applyFill="1" applyBorder="1" applyAlignment="1">
      <alignment horizontal="center" vertical="center" wrapText="1"/>
    </xf>
    <xf numFmtId="0" fontId="40" fillId="0" borderId="0" xfId="0" applyFont="1" applyBorder="1"/>
    <xf numFmtId="0" fontId="2" fillId="26" borderId="4" xfId="0" applyFont="1" applyFill="1" applyBorder="1" applyAlignment="1">
      <alignment horizontal="center" vertical="center" wrapText="1"/>
    </xf>
    <xf numFmtId="0" fontId="2" fillId="26" borderId="5" xfId="0" applyFont="1" applyFill="1" applyBorder="1" applyAlignment="1">
      <alignment horizontal="center" vertical="center" wrapText="1"/>
    </xf>
    <xf numFmtId="0" fontId="43" fillId="26" borderId="5" xfId="0" applyFont="1" applyFill="1" applyBorder="1" applyAlignment="1">
      <alignment horizontal="center" vertical="center" wrapText="1"/>
    </xf>
    <xf numFmtId="0" fontId="44" fillId="25" borderId="4" xfId="0" applyFont="1" applyFill="1" applyBorder="1" applyAlignment="1">
      <alignment horizontal="center" vertical="center" wrapText="1"/>
    </xf>
    <xf numFmtId="0" fontId="45" fillId="25" borderId="5" xfId="0" applyFont="1" applyFill="1" applyBorder="1" applyAlignment="1">
      <alignment vertical="center" wrapText="1"/>
    </xf>
    <xf numFmtId="0" fontId="46" fillId="25" borderId="5" xfId="0" applyFont="1" applyFill="1" applyBorder="1" applyAlignment="1">
      <alignment vertical="center" wrapText="1"/>
    </xf>
    <xf numFmtId="0" fontId="27" fillId="25" borderId="5" xfId="0" applyFont="1" applyFill="1" applyBorder="1" applyAlignment="1">
      <alignment vertical="center" wrapText="1"/>
    </xf>
    <xf numFmtId="0" fontId="29" fillId="25" borderId="5" xfId="0" applyFont="1" applyFill="1" applyBorder="1" applyAlignment="1">
      <alignment vertical="center" wrapText="1"/>
    </xf>
    <xf numFmtId="0" fontId="26" fillId="25" borderId="5" xfId="0" applyFont="1" applyFill="1" applyBorder="1" applyAlignment="1">
      <alignment vertical="center" wrapText="1"/>
    </xf>
    <xf numFmtId="0" fontId="47" fillId="25" borderId="5" xfId="0" applyFont="1" applyFill="1" applyBorder="1" applyAlignment="1">
      <alignment vertical="center" wrapText="1"/>
    </xf>
    <xf numFmtId="0" fontId="48" fillId="25" borderId="5" xfId="0" applyFont="1" applyFill="1" applyBorder="1" applyAlignment="1">
      <alignment vertical="center" wrapText="1"/>
    </xf>
    <xf numFmtId="0" fontId="49" fillId="25" borderId="5" xfId="0" applyFont="1" applyFill="1" applyBorder="1" applyAlignment="1">
      <alignment vertical="center" wrapText="1"/>
    </xf>
    <xf numFmtId="0" fontId="44" fillId="27" borderId="7" xfId="0" applyFont="1" applyFill="1" applyBorder="1" applyAlignment="1">
      <alignment horizontal="center" vertical="center" wrapText="1"/>
    </xf>
    <xf numFmtId="0" fontId="50" fillId="27" borderId="8" xfId="0" applyFont="1" applyFill="1" applyBorder="1" applyAlignment="1">
      <alignment vertical="center" wrapText="1"/>
    </xf>
    <xf numFmtId="0" fontId="48" fillId="27" borderId="8" xfId="0" applyFont="1" applyFill="1" applyBorder="1" applyAlignment="1">
      <alignment vertical="center" wrapText="1"/>
    </xf>
    <xf numFmtId="0" fontId="29" fillId="27" borderId="8" xfId="0" applyFont="1" applyFill="1" applyBorder="1" applyAlignment="1">
      <alignment vertical="center" wrapText="1"/>
    </xf>
    <xf numFmtId="0" fontId="51" fillId="27" borderId="8" xfId="0" applyFont="1" applyFill="1" applyBorder="1" applyAlignment="1">
      <alignment vertical="center" wrapText="1"/>
    </xf>
    <xf numFmtId="0" fontId="44" fillId="25" borderId="9" xfId="0" applyFont="1" applyFill="1" applyBorder="1" applyAlignment="1">
      <alignment horizontal="center" vertical="center" wrapText="1"/>
    </xf>
    <xf numFmtId="0" fontId="52" fillId="27" borderId="10" xfId="0" applyFont="1" applyFill="1" applyBorder="1" applyAlignment="1">
      <alignment vertical="center" wrapText="1"/>
    </xf>
    <xf numFmtId="0" fontId="53" fillId="27" borderId="10" xfId="0" applyFont="1" applyFill="1" applyBorder="1" applyAlignment="1">
      <alignment vertical="center" wrapText="1"/>
    </xf>
    <xf numFmtId="0" fontId="54" fillId="27" borderId="10" xfId="0" applyFont="1" applyFill="1" applyBorder="1" applyAlignment="1">
      <alignment vertical="center" wrapText="1"/>
    </xf>
    <xf numFmtId="0" fontId="55" fillId="27" borderId="10" xfId="0" applyFont="1" applyFill="1" applyBorder="1" applyAlignment="1">
      <alignment vertical="center" wrapText="1"/>
    </xf>
    <xf numFmtId="0" fontId="56" fillId="25" borderId="4" xfId="0" applyFont="1" applyFill="1" applyBorder="1" applyAlignment="1">
      <alignment horizontal="center" vertical="center" wrapText="1"/>
    </xf>
    <xf numFmtId="0" fontId="57" fillId="25" borderId="5" xfId="0" applyFont="1" applyFill="1" applyBorder="1" applyAlignment="1">
      <alignment vertical="center" wrapText="1"/>
    </xf>
    <xf numFmtId="0" fontId="40" fillId="28" borderId="11" xfId="0" applyFont="1" applyFill="1" applyBorder="1"/>
    <xf numFmtId="0" fontId="58" fillId="28" borderId="12" xfId="0" applyFont="1" applyFill="1" applyBorder="1"/>
    <xf numFmtId="0" fontId="40" fillId="28" borderId="12" xfId="0" applyFont="1" applyFill="1" applyBorder="1"/>
    <xf numFmtId="0" fontId="61" fillId="29" borderId="4" xfId="0" applyFont="1" applyFill="1" applyBorder="1" applyAlignment="1">
      <alignment horizontal="center" vertical="center" wrapText="1"/>
    </xf>
    <xf numFmtId="0" fontId="2" fillId="29" borderId="5" xfId="0" applyFont="1" applyFill="1" applyBorder="1" applyAlignment="1">
      <alignment horizontal="center" vertical="center" wrapText="1"/>
    </xf>
    <xf numFmtId="0" fontId="37" fillId="30" borderId="4" xfId="0" applyFont="1" applyFill="1" applyBorder="1" applyAlignment="1">
      <alignment horizontal="center" vertical="center" wrapText="1"/>
    </xf>
    <xf numFmtId="0" fontId="27" fillId="30" borderId="5" xfId="0" applyFont="1" applyFill="1" applyBorder="1" applyAlignment="1">
      <alignment vertical="center" wrapText="1"/>
    </xf>
    <xf numFmtId="0" fontId="33" fillId="30" borderId="5" xfId="0" applyFont="1" applyFill="1" applyBorder="1" applyAlignment="1">
      <alignment horizontal="center" vertical="center" wrapText="1"/>
    </xf>
    <xf numFmtId="0" fontId="27" fillId="30" borderId="5" xfId="0" applyFont="1" applyFill="1" applyBorder="1" applyAlignment="1">
      <alignment horizontal="center" vertical="center" wrapText="1"/>
    </xf>
    <xf numFmtId="0" fontId="38" fillId="30" borderId="5" xfId="0" applyFont="1" applyFill="1" applyBorder="1" applyAlignment="1">
      <alignment horizontal="center" vertical="center" wrapText="1"/>
    </xf>
    <xf numFmtId="0" fontId="57" fillId="30" borderId="5" xfId="0" applyFont="1" applyFill="1" applyBorder="1" applyAlignment="1">
      <alignment vertical="center" wrapText="1"/>
    </xf>
    <xf numFmtId="0" fontId="29" fillId="30" borderId="5" xfId="0" applyFont="1" applyFill="1" applyBorder="1" applyAlignment="1">
      <alignment horizontal="center" vertical="center" wrapText="1"/>
    </xf>
    <xf numFmtId="0" fontId="62" fillId="0" borderId="0" xfId="0" applyFont="1" applyBorder="1"/>
    <xf numFmtId="0" fontId="63" fillId="0" borderId="7" xfId="0" applyFont="1" applyBorder="1" applyAlignment="1">
      <alignment horizontal="center" vertical="center" wrapText="1"/>
    </xf>
    <xf numFmtId="0" fontId="55" fillId="0" borderId="8" xfId="0" applyFont="1" applyBorder="1" applyAlignment="1">
      <alignment vertical="center" wrapText="1"/>
    </xf>
    <xf numFmtId="0" fontId="64" fillId="0" borderId="8" xfId="0" applyFont="1" applyBorder="1" applyAlignment="1">
      <alignment horizontal="center" vertical="center" wrapText="1"/>
    </xf>
    <xf numFmtId="0" fontId="55" fillId="0" borderId="8" xfId="0" applyFont="1" applyBorder="1" applyAlignment="1">
      <alignment horizontal="center" vertical="center" wrapText="1"/>
    </xf>
    <xf numFmtId="0" fontId="65" fillId="0" borderId="8" xfId="0" applyFont="1" applyBorder="1" applyAlignment="1">
      <alignment horizontal="center" vertical="center" wrapText="1"/>
    </xf>
    <xf numFmtId="0" fontId="54" fillId="0" borderId="8" xfId="0" applyFont="1" applyBorder="1" applyAlignment="1">
      <alignment vertical="center" wrapText="1"/>
    </xf>
    <xf numFmtId="0" fontId="63" fillId="31" borderId="7" xfId="0" applyFont="1" applyFill="1" applyBorder="1" applyAlignment="1">
      <alignment horizontal="center" vertical="center" wrapText="1"/>
    </xf>
    <xf numFmtId="0" fontId="55" fillId="31" borderId="8" xfId="0" applyFont="1" applyFill="1" applyBorder="1" applyAlignment="1">
      <alignment vertical="center" wrapText="1"/>
    </xf>
    <xf numFmtId="0" fontId="66" fillId="31" borderId="8" xfId="0" applyFont="1" applyFill="1" applyBorder="1" applyAlignment="1">
      <alignment horizontal="center" vertical="center" wrapText="1"/>
    </xf>
    <xf numFmtId="0" fontId="55" fillId="31" borderId="8" xfId="0" applyFont="1" applyFill="1" applyBorder="1" applyAlignment="1">
      <alignment horizontal="center" vertical="center" wrapText="1"/>
    </xf>
    <xf numFmtId="0" fontId="67" fillId="31" borderId="8" xfId="0" applyFont="1" applyFill="1" applyBorder="1" applyAlignment="1">
      <alignment horizontal="center" vertical="center" wrapText="1"/>
    </xf>
    <xf numFmtId="0" fontId="66" fillId="0" borderId="8" xfId="0" applyFont="1" applyBorder="1" applyAlignment="1">
      <alignment horizontal="center" vertical="center" wrapText="1"/>
    </xf>
    <xf numFmtId="0" fontId="68" fillId="0" borderId="8" xfId="0" applyFont="1" applyBorder="1" applyAlignment="1">
      <alignment horizontal="center" vertical="center" wrapText="1"/>
    </xf>
    <xf numFmtId="0" fontId="54" fillId="0" borderId="8" xfId="0" applyFont="1" applyBorder="1" applyAlignment="1">
      <alignment horizontal="center" vertical="center" wrapText="1"/>
    </xf>
    <xf numFmtId="0" fontId="73" fillId="15" borderId="4" xfId="0" applyFont="1" applyFill="1" applyBorder="1" applyAlignment="1">
      <alignment horizontal="center" vertical="center" wrapText="1"/>
    </xf>
    <xf numFmtId="0" fontId="73" fillId="15" borderId="5" xfId="0" applyFont="1" applyFill="1" applyBorder="1" applyAlignment="1">
      <alignment horizontal="center" vertical="center" wrapText="1"/>
    </xf>
    <xf numFmtId="0" fontId="74" fillId="32" borderId="4" xfId="0" applyFont="1" applyFill="1" applyBorder="1" applyAlignment="1">
      <alignment horizontal="center" vertical="center" wrapText="1"/>
    </xf>
    <xf numFmtId="0" fontId="46" fillId="32" borderId="5" xfId="0" applyFont="1" applyFill="1" applyBorder="1" applyAlignment="1">
      <alignment vertical="center" wrapText="1"/>
    </xf>
    <xf numFmtId="0" fontId="75" fillId="0" borderId="20" xfId="0" applyFont="1" applyAlignment="1">
      <alignment vertical="center"/>
    </xf>
    <xf numFmtId="0" fontId="46" fillId="20" borderId="5" xfId="0" applyFont="1" applyFill="1" applyBorder="1" applyAlignment="1">
      <alignment vertical="center" wrapText="1"/>
    </xf>
    <xf numFmtId="0" fontId="75" fillId="20" borderId="5" xfId="0" applyFont="1" applyFill="1" applyBorder="1" applyAlignment="1">
      <alignment vertical="center" wrapText="1"/>
    </xf>
    <xf numFmtId="0" fontId="76" fillId="20" borderId="5" xfId="0" applyFont="1" applyFill="1" applyBorder="1" applyAlignment="1">
      <alignment vertical="center" wrapText="1"/>
    </xf>
    <xf numFmtId="0" fontId="73" fillId="18" borderId="4" xfId="0" applyFont="1" applyFill="1" applyBorder="1" applyAlignment="1">
      <alignment horizontal="center" vertical="center" wrapText="1"/>
    </xf>
    <xf numFmtId="0" fontId="73" fillId="18" borderId="5" xfId="0" applyFont="1" applyFill="1" applyBorder="1" applyAlignment="1">
      <alignment horizontal="center" vertical="center" wrapText="1"/>
    </xf>
    <xf numFmtId="0" fontId="77" fillId="23" borderId="4" xfId="0" applyFont="1" applyFill="1" applyBorder="1" applyAlignment="1">
      <alignment horizontal="center" vertical="center" wrapText="1"/>
    </xf>
    <xf numFmtId="0" fontId="78" fillId="23" borderId="5" xfId="0" applyFont="1" applyFill="1" applyBorder="1" applyAlignment="1">
      <alignment vertical="center" wrapText="1"/>
    </xf>
    <xf numFmtId="0" fontId="79" fillId="23" borderId="5" xfId="0" applyFont="1" applyFill="1" applyBorder="1" applyAlignment="1">
      <alignment horizontal="center" vertical="center" wrapText="1"/>
    </xf>
    <xf numFmtId="0" fontId="78" fillId="23" borderId="5" xfId="0" applyFont="1" applyFill="1" applyBorder="1" applyAlignment="1">
      <alignment horizontal="center" vertical="center" wrapText="1"/>
    </xf>
    <xf numFmtId="0" fontId="80" fillId="23" borderId="5" xfId="0" applyFont="1" applyFill="1" applyBorder="1" applyAlignment="1">
      <alignment horizontal="center" vertical="center" wrapText="1"/>
    </xf>
    <xf numFmtId="0" fontId="17" fillId="33" borderId="5" xfId="0" applyFont="1" applyFill="1" applyBorder="1" applyAlignment="1">
      <alignment horizontal="center" vertical="center" wrapText="1"/>
    </xf>
    <xf numFmtId="0" fontId="77" fillId="20" borderId="4" xfId="0" applyFont="1" applyFill="1" applyBorder="1" applyAlignment="1">
      <alignment horizontal="center" vertical="center" wrapText="1"/>
    </xf>
    <xf numFmtId="0" fontId="78" fillId="20" borderId="5" xfId="0" applyFont="1" applyFill="1" applyBorder="1" applyAlignment="1">
      <alignment vertical="center" wrapText="1"/>
    </xf>
    <xf numFmtId="0" fontId="74" fillId="20" borderId="5" xfId="0" applyFont="1" applyFill="1" applyBorder="1" applyAlignment="1">
      <alignment horizontal="center" vertical="center" wrapText="1"/>
    </xf>
    <xf numFmtId="0" fontId="81" fillId="20" borderId="5" xfId="0" applyFont="1" applyFill="1" applyBorder="1" applyAlignment="1">
      <alignment horizontal="center" vertical="center" wrapText="1"/>
    </xf>
    <xf numFmtId="0" fontId="77" fillId="20" borderId="5" xfId="0" applyFont="1" applyFill="1" applyBorder="1" applyAlignment="1">
      <alignment horizontal="center" vertical="center" wrapText="1"/>
    </xf>
    <xf numFmtId="0" fontId="81" fillId="20" borderId="5" xfId="0" applyFont="1" applyFill="1" applyBorder="1" applyAlignment="1">
      <alignment vertical="center" wrapText="1"/>
    </xf>
    <xf numFmtId="0" fontId="81" fillId="23" borderId="5" xfId="0" applyFont="1" applyFill="1" applyBorder="1" applyAlignment="1">
      <alignment vertical="center" wrapText="1"/>
    </xf>
    <xf numFmtId="0" fontId="74" fillId="23" borderId="5" xfId="0" applyFont="1" applyFill="1" applyBorder="1" applyAlignment="1">
      <alignment horizontal="center" vertical="center" wrapText="1"/>
    </xf>
    <xf numFmtId="0" fontId="81" fillId="23" borderId="5" xfId="0" applyFont="1" applyFill="1" applyBorder="1" applyAlignment="1">
      <alignment horizontal="center" vertical="center" wrapText="1"/>
    </xf>
    <xf numFmtId="0" fontId="82" fillId="23" borderId="5" xfId="0" applyFont="1" applyFill="1" applyBorder="1" applyAlignment="1">
      <alignment horizontal="center" vertical="center" wrapText="1"/>
    </xf>
    <xf numFmtId="0" fontId="83" fillId="20" borderId="5" xfId="0" applyFont="1" applyFill="1" applyBorder="1" applyAlignment="1">
      <alignment horizontal="center" vertical="center" wrapText="1"/>
    </xf>
    <xf numFmtId="0" fontId="44" fillId="32" borderId="4" xfId="0" applyFont="1" applyFill="1" applyBorder="1" applyAlignment="1">
      <alignment horizontal="center" vertical="center" wrapText="1"/>
    </xf>
    <xf numFmtId="0" fontId="45" fillId="32" borderId="5" xfId="0" applyFont="1" applyFill="1" applyBorder="1" applyAlignment="1">
      <alignment vertical="center" wrapText="1"/>
    </xf>
    <xf numFmtId="0" fontId="27" fillId="32" borderId="5" xfId="0" applyFont="1" applyFill="1" applyBorder="1" applyAlignment="1">
      <alignment vertical="center" wrapText="1"/>
    </xf>
    <xf numFmtId="0" fontId="29" fillId="32" borderId="5" xfId="0" applyFont="1" applyFill="1" applyBorder="1" applyAlignment="1">
      <alignment vertical="center" wrapText="1"/>
    </xf>
    <xf numFmtId="0" fontId="87" fillId="32" borderId="5" xfId="0" applyFont="1" applyFill="1" applyBorder="1" applyAlignment="1">
      <alignment vertical="center" wrapText="1"/>
    </xf>
    <xf numFmtId="0" fontId="48" fillId="32" borderId="5" xfId="0" applyFont="1" applyFill="1" applyBorder="1" applyAlignment="1">
      <alignment vertical="center" wrapText="1"/>
    </xf>
    <xf numFmtId="0" fontId="88" fillId="0" borderId="20" xfId="0" applyFont="1"/>
    <xf numFmtId="0" fontId="64" fillId="32" borderId="7" xfId="0" applyFont="1" applyFill="1" applyBorder="1" applyAlignment="1">
      <alignment horizontal="center" vertical="center" wrapText="1"/>
    </xf>
    <xf numFmtId="0" fontId="89" fillId="32" borderId="8" xfId="0" applyFont="1" applyFill="1" applyBorder="1" applyAlignment="1">
      <alignment vertical="center" wrapText="1"/>
    </xf>
    <xf numFmtId="0" fontId="53" fillId="32" borderId="8" xfId="0" applyFont="1" applyFill="1" applyBorder="1" applyAlignment="1">
      <alignment vertical="center" wrapText="1"/>
    </xf>
    <xf numFmtId="0" fontId="55" fillId="32" borderId="8" xfId="0" applyFont="1" applyFill="1" applyBorder="1" applyAlignment="1">
      <alignment vertical="center" wrapText="1"/>
    </xf>
    <xf numFmtId="0" fontId="54" fillId="32" borderId="8" xfId="0" applyFont="1" applyFill="1" applyBorder="1" applyAlignment="1">
      <alignment vertical="center" wrapText="1"/>
    </xf>
    <xf numFmtId="0" fontId="46" fillId="23" borderId="5" xfId="0" applyFont="1" applyFill="1" applyBorder="1" applyAlignment="1">
      <alignment vertical="center" wrapText="1"/>
    </xf>
    <xf numFmtId="0" fontId="90" fillId="23" borderId="15" xfId="0" applyFont="1" applyFill="1" applyBorder="1" applyAlignment="1">
      <alignment horizontal="center" vertical="center" wrapText="1"/>
    </xf>
    <xf numFmtId="0" fontId="46" fillId="23" borderId="5" xfId="0" applyFont="1" applyFill="1" applyBorder="1" applyAlignment="1">
      <alignment horizontal="center" vertical="center" wrapText="1"/>
    </xf>
    <xf numFmtId="0" fontId="37" fillId="34" borderId="4" xfId="0" applyFont="1" applyFill="1" applyBorder="1" applyAlignment="1">
      <alignment horizontal="center" vertical="center" wrapText="1"/>
    </xf>
    <xf numFmtId="0" fontId="41" fillId="34" borderId="5" xfId="0" applyFont="1" applyFill="1" applyBorder="1" applyAlignment="1">
      <alignment vertical="center" wrapText="1"/>
    </xf>
    <xf numFmtId="0" fontId="91" fillId="34" borderId="5" xfId="0" applyFont="1" applyFill="1" applyBorder="1" applyAlignment="1">
      <alignment horizontal="center" vertical="center" wrapText="1"/>
    </xf>
    <xf numFmtId="0" fontId="27" fillId="34" borderId="5" xfId="0" applyFont="1" applyFill="1" applyBorder="1" applyAlignment="1">
      <alignment horizontal="center" vertical="center" wrapText="1"/>
    </xf>
    <xf numFmtId="0" fontId="38" fillId="34" borderId="5" xfId="0" applyFont="1" applyFill="1" applyBorder="1" applyAlignment="1">
      <alignment horizontal="center" vertical="center" wrapText="1"/>
    </xf>
    <xf numFmtId="0" fontId="41" fillId="20" borderId="5" xfId="0" applyFont="1" applyFill="1" applyBorder="1" applyAlignment="1">
      <alignment vertical="center" wrapText="1"/>
    </xf>
    <xf numFmtId="0" fontId="49" fillId="34" borderId="5" xfId="0" applyFont="1" applyFill="1" applyBorder="1" applyAlignment="1">
      <alignment vertical="center" wrapText="1"/>
    </xf>
    <xf numFmtId="0" fontId="92" fillId="34" borderId="5" xfId="0" applyFont="1" applyFill="1" applyBorder="1" applyAlignment="1">
      <alignment horizontal="center" vertical="center" wrapText="1"/>
    </xf>
    <xf numFmtId="0" fontId="49" fillId="34" borderId="5" xfId="0" applyFont="1" applyFill="1" applyBorder="1" applyAlignment="1">
      <alignment horizontal="center" vertical="center" wrapText="1"/>
    </xf>
    <xf numFmtId="0" fontId="44" fillId="0" borderId="4" xfId="0" applyFont="1" applyBorder="1" applyAlignment="1">
      <alignment horizontal="center" vertical="center" wrapText="1"/>
    </xf>
    <xf numFmtId="0" fontId="26" fillId="0" borderId="5" xfId="0" applyFont="1" applyBorder="1" applyAlignment="1">
      <alignment vertical="center" wrapText="1"/>
    </xf>
    <xf numFmtId="0" fontId="97" fillId="0" borderId="5" xfId="0" applyFont="1" applyBorder="1" applyAlignment="1">
      <alignment horizontal="center" vertical="center" wrapText="1"/>
    </xf>
    <xf numFmtId="49" fontId="97" fillId="0" borderId="5" xfId="0" applyNumberFormat="1" applyFont="1" applyBorder="1" applyAlignment="1">
      <alignment horizontal="center" vertical="center" wrapText="1"/>
    </xf>
    <xf numFmtId="0" fontId="29" fillId="0" borderId="5" xfId="0" applyFont="1" applyBorder="1" applyAlignment="1">
      <alignment vertical="center" wrapText="1"/>
    </xf>
    <xf numFmtId="0" fontId="27" fillId="0" borderId="5" xfId="0" applyFont="1" applyBorder="1" applyAlignment="1">
      <alignment vertical="center" wrapText="1"/>
    </xf>
    <xf numFmtId="0" fontId="44" fillId="20" borderId="4" xfId="0" applyFont="1" applyFill="1" applyBorder="1" applyAlignment="1">
      <alignment horizontal="center" vertical="center" wrapText="1"/>
    </xf>
    <xf numFmtId="0" fontId="97" fillId="20" borderId="5" xfId="0" applyFont="1" applyFill="1" applyBorder="1" applyAlignment="1">
      <alignment vertical="center" wrapText="1"/>
    </xf>
    <xf numFmtId="0" fontId="96" fillId="20" borderId="5" xfId="0" applyFont="1" applyFill="1" applyBorder="1" applyAlignment="1">
      <alignment vertical="center" wrapText="1"/>
    </xf>
    <xf numFmtId="0" fontId="97" fillId="20" borderId="5" xfId="0" applyFont="1" applyFill="1" applyBorder="1" applyAlignment="1">
      <alignment horizontal="center" vertical="center" wrapText="1"/>
    </xf>
    <xf numFmtId="0" fontId="97" fillId="35" borderId="5" xfId="0" applyFont="1" applyFill="1" applyBorder="1" applyAlignment="1">
      <alignment vertical="center" wrapText="1"/>
    </xf>
    <xf numFmtId="0" fontId="97" fillId="35" borderId="5" xfId="0" applyFont="1" applyFill="1" applyBorder="1" applyAlignment="1">
      <alignment horizontal="center" vertical="center" wrapText="1"/>
    </xf>
    <xf numFmtId="0" fontId="46" fillId="35" borderId="5" xfId="0" applyFont="1" applyFill="1" applyBorder="1" applyAlignment="1">
      <alignment horizontal="center" vertical="center" wrapText="1"/>
    </xf>
    <xf numFmtId="0" fontId="29" fillId="35" borderId="5" xfId="0" applyFont="1" applyFill="1" applyBorder="1" applyAlignment="1">
      <alignment vertical="center" wrapText="1"/>
    </xf>
    <xf numFmtId="0" fontId="27" fillId="35" borderId="5" xfId="0" applyFont="1" applyFill="1" applyBorder="1" applyAlignment="1">
      <alignment vertical="center" wrapText="1"/>
    </xf>
    <xf numFmtId="0" fontId="98" fillId="23" borderId="5" xfId="0" applyFont="1" applyFill="1" applyBorder="1" applyAlignment="1">
      <alignment horizontal="center" vertical="center" wrapText="1"/>
    </xf>
    <xf numFmtId="0" fontId="44" fillId="20" borderId="5" xfId="0" applyFont="1" applyFill="1" applyBorder="1" applyAlignment="1">
      <alignment horizontal="center" vertical="center" wrapText="1"/>
    </xf>
    <xf numFmtId="0" fontId="38" fillId="20" borderId="5" xfId="0" applyFont="1" applyFill="1" applyBorder="1" applyAlignment="1">
      <alignment horizontal="center" vertical="center" wrapText="1"/>
    </xf>
    <xf numFmtId="0" fontId="33" fillId="23" borderId="5" xfId="0" applyFont="1" applyFill="1" applyBorder="1" applyAlignment="1">
      <alignment horizontal="center" vertical="center" wrapText="1"/>
    </xf>
    <xf numFmtId="0" fontId="33" fillId="20" borderId="5" xfId="0" applyFont="1" applyFill="1" applyBorder="1" applyAlignment="1">
      <alignment horizontal="center" vertical="center" wrapText="1"/>
    </xf>
    <xf numFmtId="0" fontId="6" fillId="20" borderId="5" xfId="0" applyFont="1" applyFill="1" applyBorder="1" applyAlignment="1">
      <alignment horizontal="center" vertical="center" wrapText="1"/>
    </xf>
    <xf numFmtId="0" fontId="85" fillId="0" borderId="20" xfId="0" applyFont="1"/>
    <xf numFmtId="0" fontId="42" fillId="37" borderId="3" xfId="0" applyFont="1" applyFill="1" applyBorder="1" applyAlignment="1">
      <alignment vertical="center" wrapText="1"/>
    </xf>
    <xf numFmtId="0" fontId="42" fillId="37" borderId="20" xfId="0" applyFont="1" applyFill="1" applyAlignment="1">
      <alignment vertical="center" wrapText="1"/>
    </xf>
    <xf numFmtId="0" fontId="2" fillId="38" borderId="4" xfId="0" applyFont="1" applyFill="1" applyBorder="1" applyAlignment="1">
      <alignment horizontal="center" vertical="center" wrapText="1"/>
    </xf>
    <xf numFmtId="0" fontId="2" fillId="38" borderId="5" xfId="0" applyFont="1" applyFill="1" applyBorder="1" applyAlignment="1">
      <alignment horizontal="center" vertical="center" wrapText="1"/>
    </xf>
    <xf numFmtId="0" fontId="24" fillId="38" borderId="5" xfId="0" applyFont="1" applyFill="1" applyBorder="1" applyAlignment="1">
      <alignment horizontal="center" vertical="center" wrapText="1"/>
    </xf>
    <xf numFmtId="0" fontId="9" fillId="0" borderId="5" xfId="0" applyFont="1" applyBorder="1" applyAlignment="1">
      <alignment horizontal="left" vertical="center" wrapText="1"/>
    </xf>
    <xf numFmtId="0" fontId="8" fillId="0" borderId="4" xfId="0" applyFont="1" applyBorder="1" applyAlignment="1">
      <alignment horizontal="left" vertical="center" wrapText="1"/>
    </xf>
    <xf numFmtId="0" fontId="100" fillId="0" borderId="8" xfId="0" applyFont="1" applyBorder="1" applyAlignment="1">
      <alignment horizontal="left" vertical="center" wrapText="1"/>
    </xf>
    <xf numFmtId="0" fontId="2" fillId="39" borderId="4" xfId="0" applyFont="1" applyFill="1" applyBorder="1" applyAlignment="1">
      <alignment horizontal="center" vertical="center" wrapText="1"/>
    </xf>
    <xf numFmtId="0" fontId="2" fillId="39" borderId="5" xfId="0" applyFont="1" applyFill="1" applyBorder="1" applyAlignment="1">
      <alignment horizontal="center" vertical="center" wrapText="1"/>
    </xf>
    <xf numFmtId="0" fontId="44" fillId="35" borderId="4" xfId="0" applyFont="1" applyFill="1" applyBorder="1" applyAlignment="1">
      <alignment horizontal="center" vertical="center" wrapText="1"/>
    </xf>
    <xf numFmtId="0" fontId="102" fillId="35" borderId="5" xfId="0" applyFont="1" applyFill="1" applyBorder="1" applyAlignment="1">
      <alignment vertical="center" wrapText="1"/>
    </xf>
    <xf numFmtId="0" fontId="103" fillId="35" borderId="5" xfId="0" applyFont="1" applyFill="1" applyBorder="1" applyAlignment="1">
      <alignment vertical="center" wrapText="1"/>
    </xf>
    <xf numFmtId="0" fontId="29" fillId="40" borderId="5" xfId="0" applyFont="1" applyFill="1" applyBorder="1" applyAlignment="1">
      <alignment vertical="center" wrapText="1"/>
    </xf>
    <xf numFmtId="0" fontId="27" fillId="40" borderId="5" xfId="0" applyFont="1" applyFill="1" applyBorder="1" applyAlignment="1">
      <alignment vertical="center" wrapText="1"/>
    </xf>
    <xf numFmtId="0" fontId="20" fillId="41" borderId="20" xfId="0" applyFont="1" applyFill="1"/>
    <xf numFmtId="0" fontId="104" fillId="20" borderId="5" xfId="0" applyFont="1" applyFill="1" applyBorder="1" applyAlignment="1">
      <alignment vertical="center" wrapText="1"/>
    </xf>
    <xf numFmtId="0" fontId="105" fillId="20" borderId="5" xfId="0" applyFont="1" applyFill="1" applyBorder="1" applyAlignment="1">
      <alignment vertical="center" wrapText="1"/>
    </xf>
    <xf numFmtId="0" fontId="103" fillId="20" borderId="5" xfId="0" applyFont="1" applyFill="1" applyBorder="1" applyAlignment="1">
      <alignment vertical="center" wrapText="1"/>
    </xf>
    <xf numFmtId="0" fontId="106" fillId="20" borderId="5" xfId="0" applyFont="1" applyFill="1" applyBorder="1" applyAlignment="1">
      <alignment vertical="center" wrapText="1"/>
    </xf>
    <xf numFmtId="0" fontId="104" fillId="35" borderId="5" xfId="0" applyFont="1" applyFill="1" applyBorder="1" applyAlignment="1">
      <alignment vertical="center" wrapText="1"/>
    </xf>
    <xf numFmtId="0" fontId="105" fillId="35" borderId="5" xfId="0" applyFont="1" applyFill="1" applyBorder="1" applyAlignment="1">
      <alignment vertical="center" wrapText="1"/>
    </xf>
    <xf numFmtId="0" fontId="44" fillId="42" borderId="7" xfId="0" applyFont="1" applyFill="1" applyBorder="1" applyAlignment="1">
      <alignment horizontal="center" vertical="center" wrapText="1"/>
    </xf>
    <xf numFmtId="0" fontId="107" fillId="43" borderId="8" xfId="0" applyFont="1" applyFill="1" applyBorder="1" applyAlignment="1">
      <alignment vertical="center" wrapText="1"/>
    </xf>
    <xf numFmtId="0" fontId="43" fillId="43" borderId="8" xfId="0" applyFont="1" applyFill="1" applyBorder="1" applyAlignment="1">
      <alignment vertical="center" wrapText="1"/>
    </xf>
    <xf numFmtId="0" fontId="51" fillId="43" borderId="8" xfId="0" applyFont="1" applyFill="1" applyBorder="1" applyAlignment="1">
      <alignment vertical="center" wrapText="1"/>
    </xf>
    <xf numFmtId="0" fontId="29" fillId="43" borderId="8" xfId="0" applyFont="1" applyFill="1" applyBorder="1" applyAlignment="1">
      <alignment vertical="center" wrapText="1"/>
    </xf>
    <xf numFmtId="0" fontId="20" fillId="44" borderId="20" xfId="0" applyFont="1" applyFill="1"/>
    <xf numFmtId="0" fontId="64" fillId="20" borderId="16" xfId="0" applyFont="1" applyFill="1" applyBorder="1" applyAlignment="1">
      <alignment horizontal="center" vertical="center" wrapText="1"/>
    </xf>
    <xf numFmtId="0" fontId="108" fillId="20" borderId="17" xfId="0" applyFont="1" applyFill="1" applyBorder="1" applyAlignment="1">
      <alignment vertical="center" wrapText="1"/>
    </xf>
    <xf numFmtId="0" fontId="109" fillId="20" borderId="17" xfId="0" applyFont="1" applyFill="1" applyBorder="1" applyAlignment="1">
      <alignment vertical="center" wrapText="1"/>
    </xf>
    <xf numFmtId="0" fontId="55" fillId="20" borderId="17" xfId="0" applyFont="1" applyFill="1" applyBorder="1" applyAlignment="1">
      <alignment vertical="center" wrapText="1"/>
    </xf>
    <xf numFmtId="0" fontId="54" fillId="20" borderId="17" xfId="0" applyFont="1" applyFill="1" applyBorder="1" applyAlignment="1">
      <alignment vertical="center" wrapText="1"/>
    </xf>
    <xf numFmtId="0" fontId="103" fillId="34" borderId="5" xfId="0" applyFont="1" applyFill="1" applyBorder="1" applyAlignment="1">
      <alignment vertical="center" wrapText="1"/>
    </xf>
    <xf numFmtId="0" fontId="98" fillId="34" borderId="5" xfId="0" applyFont="1" applyFill="1" applyBorder="1" applyAlignment="1">
      <alignment horizontal="center" vertical="center" wrapText="1"/>
    </xf>
    <xf numFmtId="0" fontId="106" fillId="34" borderId="5" xfId="0" applyFont="1" applyFill="1" applyBorder="1" applyAlignment="1">
      <alignment horizontal="center" vertical="center" wrapText="1"/>
    </xf>
    <xf numFmtId="0" fontId="110" fillId="34" borderId="5" xfId="0" applyFont="1" applyFill="1" applyBorder="1" applyAlignment="1">
      <alignment horizontal="center" vertical="center" wrapText="1"/>
    </xf>
    <xf numFmtId="0" fontId="43" fillId="20" borderId="5" xfId="0" applyFont="1" applyFill="1" applyBorder="1" applyAlignment="1">
      <alignment vertical="center" wrapText="1"/>
    </xf>
    <xf numFmtId="0" fontId="106" fillId="34" borderId="5" xfId="0" applyFont="1" applyFill="1" applyBorder="1" applyAlignment="1">
      <alignment vertical="center" wrapText="1"/>
    </xf>
    <xf numFmtId="0" fontId="111" fillId="34" borderId="5" xfId="0" applyFont="1" applyFill="1" applyBorder="1" applyAlignment="1">
      <alignment horizontal="center" vertical="center" wrapText="1"/>
    </xf>
    <xf numFmtId="0" fontId="51" fillId="34" borderId="5" xfId="0" applyFont="1" applyFill="1" applyBorder="1" applyAlignment="1">
      <alignment horizontal="center" vertical="center" wrapText="1"/>
    </xf>
    <xf numFmtId="0" fontId="33" fillId="34" borderId="5" xfId="0" applyFont="1" applyFill="1" applyBorder="1" applyAlignment="1">
      <alignment horizontal="center" vertical="center" wrapText="1"/>
    </xf>
    <xf numFmtId="0" fontId="103" fillId="20" borderId="5" xfId="0" applyFont="1" applyFill="1" applyBorder="1" applyAlignment="1">
      <alignment horizontal="center" vertical="center" wrapText="1"/>
    </xf>
    <xf numFmtId="0" fontId="51" fillId="20" borderId="5" xfId="0" applyFont="1" applyFill="1" applyBorder="1" applyAlignment="1">
      <alignment horizontal="center" vertical="center" wrapText="1"/>
    </xf>
    <xf numFmtId="0" fontId="63" fillId="43" borderId="7" xfId="0" applyFont="1" applyFill="1" applyBorder="1" applyAlignment="1">
      <alignment horizontal="center" vertical="center" wrapText="1"/>
    </xf>
    <xf numFmtId="0" fontId="112" fillId="43" borderId="8" xfId="0" applyFont="1" applyFill="1" applyBorder="1" applyAlignment="1">
      <alignment vertical="center" wrapText="1"/>
    </xf>
    <xf numFmtId="0" fontId="66" fillId="45" borderId="8" xfId="0" applyFont="1" applyFill="1" applyBorder="1" applyAlignment="1">
      <alignment horizontal="center" vertical="center" wrapText="1"/>
    </xf>
    <xf numFmtId="0" fontId="113" fillId="45" borderId="8" xfId="0" applyFont="1" applyFill="1" applyBorder="1" applyAlignment="1">
      <alignment horizontal="center" vertical="center" wrapText="1"/>
    </xf>
    <xf numFmtId="0" fontId="113" fillId="43" borderId="8" xfId="0" applyFont="1" applyFill="1" applyBorder="1" applyAlignment="1">
      <alignment horizontal="center" vertical="center" wrapText="1"/>
    </xf>
    <xf numFmtId="0" fontId="65" fillId="43" borderId="8" xfId="0" applyFont="1" applyFill="1" applyBorder="1" applyAlignment="1">
      <alignment horizontal="center" vertical="center" wrapText="1"/>
    </xf>
    <xf numFmtId="0" fontId="112" fillId="43" borderId="8" xfId="0" applyFont="1" applyFill="1" applyBorder="1" applyAlignment="1">
      <alignment horizontal="center" vertical="center" wrapText="1"/>
    </xf>
    <xf numFmtId="0" fontId="48" fillId="23" borderId="18" xfId="0" applyFont="1" applyFill="1" applyBorder="1" applyAlignment="1">
      <alignment vertical="center" wrapText="1"/>
    </xf>
    <xf numFmtId="0" fontId="114" fillId="23" borderId="18" xfId="0" applyFont="1" applyFill="1" applyBorder="1" applyAlignment="1">
      <alignment horizontal="center" vertical="center" wrapText="1"/>
    </xf>
    <xf numFmtId="0" fontId="51" fillId="23" borderId="18" xfId="0" applyFont="1" applyFill="1" applyBorder="1" applyAlignment="1">
      <alignment horizontal="center" vertical="center" wrapText="1"/>
    </xf>
    <xf numFmtId="0" fontId="48" fillId="23" borderId="18" xfId="0" applyFont="1" applyFill="1" applyBorder="1" applyAlignment="1">
      <alignment horizontal="center" vertical="center" wrapText="1"/>
    </xf>
    <xf numFmtId="0" fontId="115" fillId="23" borderId="18" xfId="0" applyFont="1" applyFill="1" applyBorder="1" applyAlignment="1">
      <alignment horizontal="center" vertical="center" wrapText="1"/>
    </xf>
    <xf numFmtId="0" fontId="116" fillId="46" borderId="18" xfId="0" applyFont="1" applyFill="1" applyBorder="1" applyAlignment="1">
      <alignment vertical="center" wrapText="1"/>
    </xf>
    <xf numFmtId="0" fontId="87" fillId="46" borderId="5" xfId="0" applyFont="1" applyFill="1" applyBorder="1" applyAlignment="1">
      <alignment vertical="center" wrapText="1"/>
    </xf>
    <xf numFmtId="0" fontId="89" fillId="46" borderId="19" xfId="0" applyFont="1" applyFill="1" applyBorder="1" applyAlignment="1">
      <alignment vertical="center" wrapText="1"/>
    </xf>
    <xf numFmtId="0" fontId="47" fillId="46" borderId="18" xfId="0" applyFont="1" applyFill="1" applyBorder="1" applyAlignment="1">
      <alignment vertical="center" wrapText="1"/>
    </xf>
    <xf numFmtId="0" fontId="47" fillId="46" borderId="5" xfId="0" applyFont="1" applyFill="1" applyBorder="1" applyAlignment="1">
      <alignment vertical="center" wrapText="1"/>
    </xf>
    <xf numFmtId="0" fontId="48" fillId="46" borderId="5" xfId="0" applyFont="1" applyFill="1" applyBorder="1" applyAlignment="1">
      <alignment vertical="center" wrapText="1"/>
    </xf>
    <xf numFmtId="0" fontId="48" fillId="46" borderId="18" xfId="0" applyFont="1" applyFill="1" applyBorder="1" applyAlignment="1">
      <alignment vertical="center" wrapText="1"/>
    </xf>
    <xf numFmtId="0" fontId="53" fillId="46" borderId="19" xfId="0" applyFont="1" applyFill="1" applyBorder="1" applyAlignment="1">
      <alignment vertical="center" wrapText="1"/>
    </xf>
    <xf numFmtId="0" fontId="53" fillId="46" borderId="8" xfId="0" applyFont="1" applyFill="1" applyBorder="1" applyAlignment="1">
      <alignment vertical="center" wrapText="1"/>
    </xf>
    <xf numFmtId="0" fontId="46" fillId="46" borderId="18" xfId="0" applyFont="1" applyFill="1" applyBorder="1" applyAlignment="1">
      <alignment vertical="center" wrapText="1"/>
    </xf>
    <xf numFmtId="0" fontId="63" fillId="47" borderId="7" xfId="0" applyFont="1" applyFill="1" applyBorder="1" applyAlignment="1">
      <alignment horizontal="center" vertical="center" wrapText="1"/>
    </xf>
    <xf numFmtId="0" fontId="53" fillId="47" borderId="8" xfId="0" applyFont="1" applyFill="1" applyBorder="1" applyAlignment="1">
      <alignment vertical="center" wrapText="1"/>
    </xf>
    <xf numFmtId="0" fontId="104" fillId="0" borderId="5" xfId="0" applyFont="1" applyBorder="1" applyAlignment="1">
      <alignment vertical="center" wrapText="1"/>
    </xf>
    <xf numFmtId="0" fontId="97" fillId="0" borderId="5" xfId="0" applyFont="1" applyBorder="1" applyAlignment="1">
      <alignment vertical="center" wrapText="1"/>
    </xf>
    <xf numFmtId="0" fontId="44" fillId="28" borderId="4" xfId="0" applyFont="1" applyFill="1" applyBorder="1" applyAlignment="1">
      <alignment horizontal="center" vertical="center" wrapText="1"/>
    </xf>
    <xf numFmtId="0" fontId="26" fillId="28" borderId="5" xfId="0" applyFont="1" applyFill="1" applyBorder="1" applyAlignment="1">
      <alignment vertical="center" wrapText="1"/>
    </xf>
    <xf numFmtId="0" fontId="97" fillId="28" borderId="5" xfId="0" applyFont="1" applyFill="1" applyBorder="1" applyAlignment="1">
      <alignment horizontal="center" vertical="center" wrapText="1"/>
    </xf>
    <xf numFmtId="49" fontId="97" fillId="28" borderId="5" xfId="0" applyNumberFormat="1" applyFont="1" applyFill="1" applyBorder="1" applyAlignment="1">
      <alignment horizontal="center" vertical="center" wrapText="1"/>
    </xf>
    <xf numFmtId="0" fontId="97" fillId="28" borderId="5" xfId="0" applyFont="1" applyFill="1" applyBorder="1" applyAlignment="1">
      <alignment vertical="center" wrapText="1"/>
    </xf>
    <xf numFmtId="0" fontId="26" fillId="48" borderId="5" xfId="0" applyFont="1" applyFill="1" applyBorder="1" applyAlignment="1">
      <alignment vertical="center" wrapText="1"/>
    </xf>
    <xf numFmtId="0" fontId="104" fillId="43" borderId="5" xfId="0" applyFont="1" applyFill="1" applyBorder="1" applyAlignment="1">
      <alignment vertical="center" wrapText="1"/>
    </xf>
    <xf numFmtId="0" fontId="117" fillId="20" borderId="5" xfId="0" applyFont="1" applyFill="1" applyBorder="1" applyAlignment="1">
      <alignment vertical="center" wrapText="1"/>
    </xf>
    <xf numFmtId="0" fontId="97" fillId="23" borderId="5" xfId="0" applyFont="1" applyFill="1" applyBorder="1" applyAlignment="1">
      <alignment vertical="center" wrapText="1"/>
    </xf>
    <xf numFmtId="0" fontId="118" fillId="23" borderId="5" xfId="0" applyFont="1" applyFill="1" applyBorder="1" applyAlignment="1">
      <alignment horizontal="center" vertical="center" wrapText="1"/>
    </xf>
    <xf numFmtId="0" fontId="119" fillId="23" borderId="5" xfId="0" applyFont="1" applyFill="1" applyBorder="1" applyAlignment="1">
      <alignment horizontal="center" vertical="center" wrapText="1"/>
    </xf>
    <xf numFmtId="0" fontId="120" fillId="23" borderId="5" xfId="0" applyFont="1" applyFill="1" applyBorder="1" applyAlignment="1">
      <alignment vertical="center" wrapText="1"/>
    </xf>
    <xf numFmtId="0" fontId="119" fillId="23" borderId="5" xfId="0" applyFont="1" applyFill="1" applyBorder="1" applyAlignment="1">
      <alignment vertical="center" wrapText="1"/>
    </xf>
    <xf numFmtId="0" fontId="120" fillId="33" borderId="5" xfId="0" applyFont="1" applyFill="1" applyBorder="1" applyAlignment="1">
      <alignment horizontal="center" vertical="center" wrapText="1"/>
    </xf>
    <xf numFmtId="0" fontId="121" fillId="32" borderId="5" xfId="0" applyFont="1" applyFill="1" applyBorder="1" applyAlignment="1">
      <alignment vertical="center" wrapText="1"/>
    </xf>
    <xf numFmtId="0" fontId="48" fillId="20" borderId="5" xfId="0" applyFont="1" applyFill="1" applyBorder="1" applyAlignment="1">
      <alignment vertical="center" wrapText="1"/>
    </xf>
    <xf numFmtId="0" fontId="121" fillId="20" borderId="5" xfId="0" applyFont="1" applyFill="1" applyBorder="1" applyAlignment="1">
      <alignment vertical="center" wrapText="1"/>
    </xf>
    <xf numFmtId="0" fontId="122" fillId="32" borderId="5" xfId="0" applyFont="1" applyFill="1" applyBorder="1" applyAlignment="1">
      <alignment vertical="center" wrapText="1"/>
    </xf>
    <xf numFmtId="0" fontId="70" fillId="40" borderId="20" xfId="0" applyFont="1" applyFill="1" applyBorder="1" applyAlignment="1">
      <alignment vertical="center"/>
    </xf>
    <xf numFmtId="0" fontId="85" fillId="40" borderId="20" xfId="0" applyFont="1" applyFill="1" applyBorder="1" applyAlignment="1">
      <alignment vertical="center"/>
    </xf>
    <xf numFmtId="0" fontId="94" fillId="40" borderId="20" xfId="0" applyFont="1" applyFill="1" applyBorder="1" applyAlignment="1">
      <alignment vertical="center"/>
    </xf>
    <xf numFmtId="0" fontId="101" fillId="41" borderId="20" xfId="0" applyFont="1" applyFill="1" applyBorder="1" applyAlignment="1">
      <alignment vertical="center"/>
    </xf>
    <xf numFmtId="0" fontId="101" fillId="40" borderId="20" xfId="0" applyFont="1" applyFill="1" applyBorder="1" applyAlignment="1">
      <alignment vertical="center"/>
    </xf>
    <xf numFmtId="0" fontId="41" fillId="24" borderId="1" xfId="0" applyFont="1" applyFill="1" applyBorder="1" applyAlignment="1">
      <alignment horizontal="center" vertical="center" wrapText="1"/>
    </xf>
    <xf numFmtId="0" fontId="0" fillId="0" borderId="1" xfId="0" applyBorder="1"/>
    <xf numFmtId="0" fontId="41" fillId="25" borderId="3" xfId="0" applyFont="1" applyFill="1" applyBorder="1" applyAlignment="1">
      <alignment vertical="center" wrapText="1"/>
    </xf>
    <xf numFmtId="0" fontId="0" fillId="0" borderId="3" xfId="0" applyBorder="1"/>
    <xf numFmtId="0" fontId="42" fillId="25" borderId="3" xfId="0" applyFont="1" applyFill="1" applyBorder="1" applyAlignment="1">
      <alignment vertical="center" wrapText="1"/>
    </xf>
    <xf numFmtId="0" fontId="43" fillId="24" borderId="1" xfId="0" applyFont="1" applyFill="1" applyBorder="1" applyAlignment="1">
      <alignment horizontal="center" vertical="center" wrapText="1"/>
    </xf>
    <xf numFmtId="0" fontId="43" fillId="29" borderId="13" xfId="0" applyFont="1" applyFill="1" applyBorder="1" applyAlignment="1">
      <alignment horizontal="center" vertical="center" wrapText="1"/>
    </xf>
    <xf numFmtId="0" fontId="59" fillId="28" borderId="13" xfId="0" applyFont="1" applyFill="1" applyBorder="1"/>
    <xf numFmtId="0" fontId="60" fillId="28" borderId="13" xfId="0" applyFont="1" applyFill="1" applyBorder="1"/>
    <xf numFmtId="0" fontId="60" fillId="0" borderId="14" xfId="0" applyFont="1" applyBorder="1"/>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16" fillId="8" borderId="1" xfId="0" applyFont="1" applyFill="1" applyBorder="1" applyAlignment="1">
      <alignment horizontal="center" vertical="center" wrapText="1"/>
    </xf>
    <xf numFmtId="0" fontId="17" fillId="4" borderId="1" xfId="0" applyFont="1" applyFill="1" applyBorder="1" applyAlignment="1">
      <alignment horizontal="left" vertical="center" wrapText="1"/>
    </xf>
    <xf numFmtId="0" fontId="18" fillId="0" borderId="1" xfId="0" applyFont="1" applyBorder="1" applyAlignment="1">
      <alignment horizontal="left" vertical="center" wrapText="1"/>
    </xf>
    <xf numFmtId="0" fontId="8" fillId="12" borderId="1" xfId="0" applyFont="1" applyFill="1" applyBorder="1" applyAlignment="1">
      <alignment horizontal="left" vertical="center" wrapText="1"/>
    </xf>
    <xf numFmtId="0" fontId="21" fillId="13" borderId="1" xfId="0" applyFont="1" applyFill="1" applyBorder="1" applyAlignment="1">
      <alignment horizontal="center" vertical="center" wrapText="1"/>
    </xf>
    <xf numFmtId="0" fontId="123" fillId="0" borderId="1" xfId="0" applyFont="1" applyBorder="1"/>
    <xf numFmtId="0" fontId="22" fillId="14" borderId="2" xfId="0" applyFont="1" applyFill="1" applyBorder="1" applyAlignment="1">
      <alignment vertical="center" wrapText="1"/>
    </xf>
    <xf numFmtId="0" fontId="123" fillId="0" borderId="2" xfId="0" applyFont="1" applyBorder="1"/>
    <xf numFmtId="0" fontId="22" fillId="14" borderId="3" xfId="0" applyFont="1" applyFill="1" applyBorder="1" applyAlignment="1">
      <alignment vertical="center" wrapText="1"/>
    </xf>
    <xf numFmtId="0" fontId="123" fillId="0" borderId="3" xfId="0" applyFont="1" applyBorder="1"/>
    <xf numFmtId="0" fontId="23" fillId="18" borderId="1" xfId="0" applyFont="1" applyFill="1" applyBorder="1" applyAlignment="1">
      <alignment horizontal="center" vertical="center" wrapText="1"/>
    </xf>
    <xf numFmtId="0" fontId="2" fillId="15" borderId="1" xfId="0" applyFont="1" applyFill="1" applyBorder="1" applyAlignment="1">
      <alignment horizontal="center" vertical="center" wrapText="1"/>
    </xf>
    <xf numFmtId="0" fontId="23" fillId="13" borderId="1" xfId="0" applyFont="1" applyFill="1" applyBorder="1" applyAlignment="1">
      <alignment horizontal="center" vertical="center" wrapText="1"/>
    </xf>
    <xf numFmtId="0" fontId="2" fillId="13" borderId="6" xfId="0" applyFont="1" applyFill="1" applyBorder="1" applyAlignment="1">
      <alignment horizontal="center" vertical="center" wrapText="1"/>
    </xf>
    <xf numFmtId="0" fontId="123" fillId="0" borderId="6" xfId="0" applyFont="1" applyBorder="1"/>
    <xf numFmtId="0" fontId="2" fillId="17" borderId="1" xfId="0" applyFont="1" applyFill="1" applyBorder="1" applyAlignment="1">
      <alignment horizontal="center" vertical="center" wrapText="1"/>
    </xf>
    <xf numFmtId="0" fontId="2" fillId="21" borderId="1" xfId="0" applyFont="1" applyFill="1" applyBorder="1" applyAlignment="1">
      <alignment horizontal="center" vertical="center" wrapText="1"/>
    </xf>
    <xf numFmtId="0" fontId="72" fillId="21" borderId="1" xfId="0" applyFont="1" applyFill="1" applyBorder="1" applyAlignment="1">
      <alignment horizontal="center" vertical="center" wrapText="1"/>
    </xf>
    <xf numFmtId="0" fontId="70" fillId="0" borderId="1" xfId="0" applyFont="1" applyBorder="1"/>
    <xf numFmtId="0" fontId="69" fillId="21" borderId="1" xfId="0" applyFont="1" applyFill="1" applyBorder="1" applyAlignment="1">
      <alignment horizontal="center" vertical="center" wrapText="1"/>
    </xf>
    <xf numFmtId="0" fontId="70" fillId="0" borderId="2" xfId="0" applyFont="1" applyBorder="1"/>
    <xf numFmtId="0" fontId="71" fillId="32" borderId="3" xfId="0" applyFont="1" applyFill="1" applyBorder="1" applyAlignment="1">
      <alignment vertical="center" wrapText="1"/>
    </xf>
    <xf numFmtId="0" fontId="70" fillId="0" borderId="3" xfId="0" applyFont="1" applyBorder="1"/>
    <xf numFmtId="0" fontId="85" fillId="0" borderId="1" xfId="0" applyFont="1" applyBorder="1"/>
    <xf numFmtId="0" fontId="84" fillId="21" borderId="1" xfId="0" applyFont="1" applyFill="1" applyBorder="1" applyAlignment="1">
      <alignment horizontal="center" vertical="center" wrapText="1"/>
    </xf>
    <xf numFmtId="0" fontId="86" fillId="32" borderId="2" xfId="0" applyFont="1" applyFill="1" applyBorder="1" applyAlignment="1">
      <alignment vertical="center" wrapText="1"/>
    </xf>
    <xf numFmtId="0" fontId="85" fillId="0" borderId="2" xfId="0" applyFont="1" applyBorder="1"/>
    <xf numFmtId="0" fontId="86" fillId="32" borderId="3" xfId="0" applyFont="1" applyFill="1" applyBorder="1" applyAlignment="1">
      <alignment vertical="center" wrapText="1"/>
    </xf>
    <xf numFmtId="0" fontId="85" fillId="0" borderId="3" xfId="0" applyFont="1" applyBorder="1"/>
    <xf numFmtId="0" fontId="42" fillId="32" borderId="3" xfId="0" applyFont="1" applyFill="1" applyBorder="1" applyAlignment="1">
      <alignment vertical="center" wrapText="1"/>
    </xf>
    <xf numFmtId="0" fontId="23" fillId="21" borderId="1" xfId="0" applyFont="1" applyFill="1" applyBorder="1" applyAlignment="1">
      <alignment horizontal="center" vertical="center" wrapText="1"/>
    </xf>
    <xf numFmtId="0" fontId="94" fillId="0" borderId="1" xfId="0" applyFont="1" applyBorder="1"/>
    <xf numFmtId="0" fontId="93" fillId="21" borderId="1" xfId="0" applyFont="1" applyFill="1" applyBorder="1" applyAlignment="1">
      <alignment horizontal="center" vertical="center" wrapText="1"/>
    </xf>
    <xf numFmtId="0" fontId="94" fillId="0" borderId="2" xfId="0" applyFont="1" applyBorder="1"/>
    <xf numFmtId="0" fontId="95" fillId="32" borderId="3" xfId="0" applyFont="1" applyFill="1" applyBorder="1" applyAlignment="1">
      <alignment vertical="center" wrapText="1"/>
    </xf>
    <xf numFmtId="0" fontId="94" fillId="0" borderId="3" xfId="0" applyFont="1" applyBorder="1"/>
    <xf numFmtId="0" fontId="23" fillId="39" borderId="1" xfId="0" applyFont="1" applyFill="1" applyBorder="1" applyAlignment="1">
      <alignment horizontal="center" vertical="center" wrapText="1"/>
    </xf>
    <xf numFmtId="0" fontId="5" fillId="36" borderId="1" xfId="0" applyFont="1" applyFill="1" applyBorder="1" applyAlignment="1">
      <alignment horizontal="center" vertical="center" wrapText="1"/>
    </xf>
    <xf numFmtId="0" fontId="42" fillId="37" borderId="2" xfId="0" applyFont="1" applyFill="1" applyBorder="1" applyAlignment="1">
      <alignment vertical="center" wrapText="1"/>
    </xf>
    <xf numFmtId="0" fontId="42" fillId="37" borderId="3" xfId="0" applyFont="1" applyFill="1" applyBorder="1" applyAlignment="1">
      <alignment vertical="center" wrapText="1"/>
    </xf>
    <xf numFmtId="0" fontId="23" fillId="36" borderId="1" xfId="0" applyFont="1" applyFill="1" applyBorder="1" applyAlignment="1">
      <alignment horizontal="center" vertical="center" wrapText="1"/>
    </xf>
    <xf numFmtId="0" fontId="101" fillId="0" borderId="1" xfId="0" applyFont="1" applyBorder="1"/>
    <xf numFmtId="0" fontId="101" fillId="0" borderId="2" xfId="0" applyFont="1" applyBorder="1"/>
    <xf numFmtId="0" fontId="101" fillId="0" borderId="3" xfId="0" applyFont="1" applyBorder="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27"/>
  <sheetViews>
    <sheetView showGridLines="0" workbookViewId="0">
      <pane xSplit="2" ySplit="6" topLeftCell="C7" activePane="bottomRight" state="frozen"/>
      <selection pane="topRight"/>
      <selection pane="bottomLeft"/>
      <selection pane="bottomRight" activeCell="C7" sqref="C7"/>
    </sheetView>
  </sheetViews>
  <sheetFormatPr defaultColWidth="9.6328125" defaultRowHeight="14.5"/>
  <cols>
    <col min="1" max="1" width="4" customWidth="1"/>
    <col min="2" max="2" width="18" customWidth="1"/>
    <col min="3" max="3" width="20.6328125" customWidth="1"/>
    <col min="4" max="4" width="10" customWidth="1"/>
    <col min="5" max="5" width="57.1796875" customWidth="1"/>
    <col min="6" max="7" width="10" customWidth="1"/>
    <col min="8" max="8" width="11.453125" customWidth="1"/>
    <col min="9" max="9" width="10" customWidth="1"/>
    <col min="10" max="10" width="16" customWidth="1"/>
    <col min="11" max="11" width="18" customWidth="1"/>
    <col min="12" max="12" width="4" customWidth="1"/>
  </cols>
  <sheetData>
    <row r="1" spans="2:11" ht="7.5" customHeight="1"/>
    <row r="2" spans="2:11" ht="37.5" customHeight="1">
      <c r="B2" s="311" t="s">
        <v>0</v>
      </c>
      <c r="C2" s="311"/>
      <c r="D2" s="311"/>
      <c r="E2" s="311"/>
      <c r="F2" s="311"/>
      <c r="G2" s="311"/>
      <c r="H2" s="311"/>
      <c r="I2" s="311"/>
      <c r="J2" s="311"/>
      <c r="K2" s="311"/>
    </row>
    <row r="3" spans="2:11" ht="24" customHeight="1">
      <c r="B3" s="1" t="s">
        <v>1</v>
      </c>
      <c r="C3" s="2"/>
      <c r="D3" s="1" t="s">
        <v>2</v>
      </c>
      <c r="E3" s="2"/>
      <c r="F3" s="1" t="s">
        <v>3</v>
      </c>
      <c r="G3" s="2"/>
      <c r="H3" s="1" t="s">
        <v>4</v>
      </c>
      <c r="I3" s="2"/>
      <c r="J3" s="1" t="s">
        <v>5</v>
      </c>
      <c r="K3" s="2"/>
    </row>
    <row r="4" spans="2:11" ht="21.75" customHeight="1">
      <c r="B4" s="312" t="s">
        <v>342</v>
      </c>
      <c r="C4" s="312"/>
      <c r="D4" s="312"/>
      <c r="E4" s="312"/>
      <c r="F4" s="312"/>
      <c r="G4" s="312"/>
      <c r="H4" s="312"/>
      <c r="I4" s="312"/>
      <c r="J4" s="312"/>
      <c r="K4" s="312"/>
    </row>
    <row r="5" spans="2:11" ht="7.5" customHeight="1"/>
    <row r="6" spans="2:11" ht="27.75" customHeight="1">
      <c r="B6" s="313" t="s">
        <v>343</v>
      </c>
      <c r="C6" s="313"/>
      <c r="D6" s="313"/>
      <c r="E6" s="313"/>
      <c r="F6" s="313"/>
      <c r="G6" s="313"/>
      <c r="H6" s="313"/>
      <c r="I6" s="313"/>
      <c r="J6" s="313"/>
      <c r="K6" s="313"/>
    </row>
    <row r="7" spans="2:11" ht="24" customHeight="1">
      <c r="B7" s="3" t="s">
        <v>6</v>
      </c>
      <c r="C7" s="3" t="s">
        <v>7</v>
      </c>
      <c r="D7" s="3" t="s">
        <v>8</v>
      </c>
      <c r="E7" s="3" t="s">
        <v>9</v>
      </c>
      <c r="F7" s="3" t="s">
        <v>10</v>
      </c>
      <c r="G7" s="3" t="s">
        <v>11</v>
      </c>
      <c r="H7" s="3" t="s">
        <v>12</v>
      </c>
      <c r="I7" s="3" t="s">
        <v>13</v>
      </c>
      <c r="J7" s="3" t="s">
        <v>14</v>
      </c>
      <c r="K7" s="3" t="s">
        <v>15</v>
      </c>
    </row>
    <row r="8" spans="2:11" ht="42" customHeight="1">
      <c r="B8" s="4" t="s">
        <v>16</v>
      </c>
      <c r="C8" s="5" t="s">
        <v>17</v>
      </c>
      <c r="D8" s="6">
        <v>0.3</v>
      </c>
      <c r="E8" s="7" t="s">
        <v>344</v>
      </c>
      <c r="F8" s="8"/>
      <c r="G8" s="9">
        <v>5</v>
      </c>
      <c r="H8" s="10" t="s">
        <v>18</v>
      </c>
      <c r="I8" s="11">
        <f>IFERROR(D8*G8,0)</f>
        <v>1.5</v>
      </c>
      <c r="J8" s="12"/>
      <c r="K8" s="12"/>
    </row>
    <row r="9" spans="2:11" ht="42" customHeight="1">
      <c r="B9" s="13" t="s">
        <v>16</v>
      </c>
      <c r="C9" s="14" t="s">
        <v>345</v>
      </c>
      <c r="D9" s="15">
        <v>0.25</v>
      </c>
      <c r="E9" s="16" t="s">
        <v>346</v>
      </c>
      <c r="F9" s="8"/>
      <c r="G9" s="9">
        <v>5</v>
      </c>
      <c r="H9" s="17" t="s">
        <v>18</v>
      </c>
      <c r="I9" s="18">
        <f>IFERROR(D9*G9,0)</f>
        <v>1.25</v>
      </c>
      <c r="J9" s="9"/>
      <c r="K9" s="9"/>
    </row>
    <row r="10" spans="2:11" ht="42" customHeight="1">
      <c r="B10" s="4" t="s">
        <v>19</v>
      </c>
      <c r="C10" s="5" t="s">
        <v>20</v>
      </c>
      <c r="D10" s="6">
        <v>0.2</v>
      </c>
      <c r="E10" s="7" t="s">
        <v>347</v>
      </c>
      <c r="F10" s="8"/>
      <c r="G10" s="9">
        <v>5</v>
      </c>
      <c r="H10" s="17" t="s">
        <v>18</v>
      </c>
      <c r="I10" s="11">
        <f>IFERROR(D10*G10,0)</f>
        <v>1</v>
      </c>
      <c r="J10" s="12"/>
      <c r="K10" s="12"/>
    </row>
    <row r="11" spans="2:11" ht="42" customHeight="1">
      <c r="B11" s="13" t="s">
        <v>21</v>
      </c>
      <c r="C11" s="14" t="s">
        <v>22</v>
      </c>
      <c r="D11" s="15">
        <v>0.15</v>
      </c>
      <c r="E11" s="16" t="s">
        <v>348</v>
      </c>
      <c r="F11" s="8"/>
      <c r="G11" s="9">
        <v>5</v>
      </c>
      <c r="H11" s="17" t="s">
        <v>18</v>
      </c>
      <c r="I11" s="18">
        <f>IFERROR(D11*G11,0)</f>
        <v>0.75</v>
      </c>
      <c r="J11" s="9"/>
      <c r="K11" s="9"/>
    </row>
    <row r="12" spans="2:11" ht="42" customHeight="1">
      <c r="B12" s="4" t="s">
        <v>23</v>
      </c>
      <c r="C12" s="5" t="s">
        <v>24</v>
      </c>
      <c r="D12" s="6">
        <v>0.1</v>
      </c>
      <c r="E12" s="7" t="s">
        <v>349</v>
      </c>
      <c r="F12" s="8"/>
      <c r="G12" s="9">
        <v>5</v>
      </c>
      <c r="H12" s="17" t="s">
        <v>18</v>
      </c>
      <c r="I12" s="11">
        <f>IFERROR(D12*G12,0)</f>
        <v>0.5</v>
      </c>
      <c r="J12" s="12"/>
      <c r="K12" s="12"/>
    </row>
    <row r="13" spans="2:11" ht="25.5" customHeight="1">
      <c r="B13" s="314" t="s">
        <v>25</v>
      </c>
      <c r="C13" s="314"/>
      <c r="D13" s="314"/>
      <c r="E13" s="314"/>
      <c r="I13" s="19">
        <f>SUM(I8:I12)</f>
        <v>5</v>
      </c>
    </row>
    <row r="14" spans="2:11" ht="7.5" customHeight="1"/>
    <row r="15" spans="2:11" ht="27.75" customHeight="1">
      <c r="B15" s="315" t="s">
        <v>350</v>
      </c>
      <c r="C15" s="315"/>
      <c r="D15" s="315"/>
      <c r="E15" s="315"/>
      <c r="F15" s="315"/>
      <c r="G15" s="315"/>
      <c r="H15" s="315"/>
      <c r="I15" s="315"/>
      <c r="J15" s="315"/>
      <c r="K15" s="315"/>
    </row>
    <row r="16" spans="2:11" ht="24" customHeight="1">
      <c r="B16" s="1" t="s">
        <v>6</v>
      </c>
      <c r="C16" s="1" t="s">
        <v>7</v>
      </c>
      <c r="D16" s="1" t="s">
        <v>8</v>
      </c>
      <c r="E16" s="1" t="s">
        <v>9</v>
      </c>
      <c r="F16" s="1" t="s">
        <v>10</v>
      </c>
      <c r="G16" s="1" t="s">
        <v>26</v>
      </c>
      <c r="H16" s="1" t="s">
        <v>27</v>
      </c>
      <c r="I16" s="1" t="s">
        <v>13</v>
      </c>
      <c r="J16" s="1" t="s">
        <v>14</v>
      </c>
      <c r="K16" s="1" t="s">
        <v>15</v>
      </c>
    </row>
    <row r="17" spans="2:11" ht="42" customHeight="1">
      <c r="B17" s="20" t="s">
        <v>28</v>
      </c>
      <c r="C17" s="5" t="s">
        <v>29</v>
      </c>
      <c r="D17" s="6">
        <v>0.3</v>
      </c>
      <c r="E17" s="7" t="s">
        <v>351</v>
      </c>
      <c r="F17" s="8"/>
      <c r="G17" s="17" t="s">
        <v>18</v>
      </c>
      <c r="H17" s="21"/>
      <c r="I17" s="11">
        <f>IFERROR(D17*H17,0)</f>
        <v>0</v>
      </c>
      <c r="J17" s="12"/>
      <c r="K17" s="12"/>
    </row>
    <row r="18" spans="2:11" ht="42" customHeight="1">
      <c r="B18" s="22" t="s">
        <v>30</v>
      </c>
      <c r="C18" s="23" t="s">
        <v>31</v>
      </c>
      <c r="D18" s="24">
        <v>0.25</v>
      </c>
      <c r="E18" s="25" t="s">
        <v>352</v>
      </c>
      <c r="F18" s="8"/>
      <c r="G18" s="17" t="s">
        <v>18</v>
      </c>
      <c r="H18" s="21"/>
      <c r="I18" s="26">
        <f>IFERROR(D18*H18,0)</f>
        <v>0</v>
      </c>
      <c r="J18" s="21"/>
      <c r="K18" s="21"/>
    </row>
    <row r="19" spans="2:11" ht="42" customHeight="1">
      <c r="B19" s="20" t="s">
        <v>32</v>
      </c>
      <c r="C19" s="5" t="s">
        <v>353</v>
      </c>
      <c r="D19" s="6">
        <v>0.2</v>
      </c>
      <c r="E19" s="7" t="s">
        <v>354</v>
      </c>
      <c r="F19" s="8"/>
      <c r="G19" s="17" t="s">
        <v>18</v>
      </c>
      <c r="H19" s="21"/>
      <c r="I19" s="11">
        <f>IFERROR(D19*H19,0)</f>
        <v>0</v>
      </c>
      <c r="J19" s="12"/>
      <c r="K19" s="12"/>
    </row>
    <row r="20" spans="2:11" ht="42" customHeight="1">
      <c r="B20" s="22" t="s">
        <v>33</v>
      </c>
      <c r="C20" s="23" t="s">
        <v>34</v>
      </c>
      <c r="D20" s="24">
        <v>0.15</v>
      </c>
      <c r="E20" s="25" t="s">
        <v>355</v>
      </c>
      <c r="F20" s="8"/>
      <c r="G20" s="17" t="s">
        <v>18</v>
      </c>
      <c r="H20" s="21"/>
      <c r="I20" s="26">
        <f>IFERROR(D20*H20,0)</f>
        <v>0</v>
      </c>
      <c r="J20" s="21"/>
      <c r="K20" s="21"/>
    </row>
    <row r="21" spans="2:11" ht="42" customHeight="1">
      <c r="B21" s="20" t="s">
        <v>35</v>
      </c>
      <c r="C21" s="5" t="s">
        <v>36</v>
      </c>
      <c r="D21" s="6">
        <v>0.1</v>
      </c>
      <c r="E21" s="7" t="s">
        <v>356</v>
      </c>
      <c r="F21" s="8"/>
      <c r="G21" s="17" t="s">
        <v>18</v>
      </c>
      <c r="H21" s="21"/>
      <c r="I21" s="11">
        <f>IFERROR(D21*H21,0)</f>
        <v>0</v>
      </c>
      <c r="J21" s="12"/>
      <c r="K21" s="12"/>
    </row>
    <row r="22" spans="2:11" ht="25.5" customHeight="1">
      <c r="B22" s="316" t="s">
        <v>37</v>
      </c>
      <c r="C22" s="316"/>
      <c r="D22" s="316"/>
      <c r="E22" s="316"/>
      <c r="I22" s="27">
        <f>SUM(I17:I21)</f>
        <v>0</v>
      </c>
    </row>
    <row r="23" spans="2:11" ht="7.5" customHeight="1"/>
    <row r="24" spans="2:11" ht="37.5" customHeight="1">
      <c r="B24" s="317" t="s">
        <v>357</v>
      </c>
      <c r="C24" s="317"/>
      <c r="D24" s="317"/>
      <c r="E24" s="317"/>
      <c r="F24" s="28">
        <f>I13*0.6+I22*0.4</f>
        <v>3</v>
      </c>
      <c r="G24" s="318" t="str">
        <f>IF(F24="","",IF(F24&gt;=4.5,"S-卓越",IF(F24&gt;=3.5,"A-优秀",IF(F24&gt;=2.5,"B-达标",IF(F24&gt;=1.5,"C-待改进","D-不达标")))))</f>
        <v>B-达标</v>
      </c>
      <c r="H24" s="318"/>
      <c r="I24" s="318"/>
      <c r="J24" s="319" t="s">
        <v>358</v>
      </c>
      <c r="K24" s="319"/>
    </row>
    <row r="25" spans="2:11" ht="7.5" customHeight="1"/>
    <row r="26" spans="2:11" ht="60" customHeight="1">
      <c r="B26" s="320" t="s">
        <v>38</v>
      </c>
      <c r="C26" s="320"/>
      <c r="D26" s="321"/>
      <c r="E26" s="321"/>
      <c r="F26" s="321"/>
      <c r="G26" s="321"/>
      <c r="H26" s="321"/>
      <c r="I26" s="321"/>
      <c r="J26" s="321"/>
      <c r="K26" s="321"/>
    </row>
    <row r="27" spans="2:11" ht="30" customHeight="1">
      <c r="B27" s="29" t="s">
        <v>39</v>
      </c>
      <c r="E27" s="29" t="s">
        <v>40</v>
      </c>
      <c r="H27" s="29" t="s">
        <v>41</v>
      </c>
      <c r="K27" s="29" t="s">
        <v>42</v>
      </c>
    </row>
  </sheetData>
  <mergeCells count="11">
    <mergeCell ref="B22:E22"/>
    <mergeCell ref="B24:E24"/>
    <mergeCell ref="G24:I24"/>
    <mergeCell ref="J24:K24"/>
    <mergeCell ref="B26:C26"/>
    <mergeCell ref="D26:K26"/>
    <mergeCell ref="B2:K2"/>
    <mergeCell ref="B4:K4"/>
    <mergeCell ref="B6:K6"/>
    <mergeCell ref="B13:E13"/>
    <mergeCell ref="B15:K15"/>
  </mergeCells>
  <phoneticPr fontId="140" type="noConversion"/>
  <pageMargins left="0.75" right="0.75" top="1" bottom="1" header="0.51180599999999998" footer="0.51180599999999998"/>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8"/>
  <sheetViews>
    <sheetView workbookViewId="0"/>
  </sheetViews>
  <sheetFormatPr defaultColWidth="9.6328125" defaultRowHeight="18" customHeight="1"/>
  <cols>
    <col min="1" max="1" width="2.6328125" customWidth="1"/>
    <col min="2" max="2" width="5.6328125" customWidth="1"/>
    <col min="3" max="3" width="15.6328125" customWidth="1"/>
    <col min="4" max="4" width="19.6328125" customWidth="1"/>
    <col min="5" max="5" width="24.6328125" customWidth="1"/>
    <col min="6" max="6" width="13.6328125" customWidth="1"/>
    <col min="7" max="7" width="10.6328125" customWidth="1"/>
    <col min="8" max="8" width="13.6328125" customWidth="1"/>
    <col min="9" max="10" width="8.6328125" customWidth="1"/>
    <col min="11" max="11" width="10.6328125" customWidth="1"/>
    <col min="12" max="21" width="8.6328125" customWidth="1"/>
    <col min="22" max="22" width="13.6328125" customWidth="1"/>
    <col min="23" max="24" width="15.6328125" customWidth="1"/>
  </cols>
  <sheetData>
    <row r="1" spans="1:24" ht="6" customHeight="1">
      <c r="A1" s="30"/>
      <c r="B1" s="30"/>
      <c r="C1" s="30"/>
      <c r="D1" s="30"/>
      <c r="E1" s="30"/>
      <c r="F1" s="30"/>
      <c r="G1" s="30"/>
      <c r="H1" s="30"/>
      <c r="I1" s="30"/>
      <c r="J1" s="30"/>
      <c r="K1" s="30"/>
      <c r="L1" s="30"/>
      <c r="M1" s="30"/>
      <c r="N1" s="30"/>
      <c r="O1" s="30"/>
      <c r="P1" s="30"/>
      <c r="Q1" s="30"/>
      <c r="R1" s="30"/>
      <c r="S1" s="30"/>
      <c r="T1" s="30"/>
      <c r="U1" s="30"/>
      <c r="V1" s="30"/>
      <c r="W1" s="30"/>
      <c r="X1" s="30"/>
    </row>
    <row r="2" spans="1:24" ht="39" customHeight="1">
      <c r="A2" s="30"/>
      <c r="B2" s="322" t="s">
        <v>359</v>
      </c>
      <c r="C2" s="323"/>
      <c r="D2" s="323"/>
      <c r="E2" s="323"/>
      <c r="F2" s="323"/>
      <c r="G2" s="323"/>
      <c r="H2" s="323"/>
      <c r="I2" s="323"/>
      <c r="J2" s="323"/>
      <c r="K2" s="323"/>
      <c r="L2" s="323"/>
      <c r="M2" s="323"/>
      <c r="N2" s="323"/>
      <c r="O2" s="323"/>
      <c r="P2" s="323"/>
      <c r="Q2" s="323"/>
      <c r="R2" s="323"/>
      <c r="S2" s="323"/>
      <c r="T2" s="323"/>
      <c r="U2" s="323"/>
      <c r="V2" s="323"/>
      <c r="W2" s="323"/>
      <c r="X2" s="323"/>
    </row>
    <row r="3" spans="1:24" ht="6" customHeight="1">
      <c r="A3" s="30"/>
      <c r="B3" s="30"/>
      <c r="C3" s="30"/>
      <c r="D3" s="30"/>
      <c r="E3" s="30"/>
      <c r="F3" s="30"/>
      <c r="G3" s="30"/>
      <c r="H3" s="30"/>
      <c r="I3" s="30"/>
      <c r="J3" s="30"/>
      <c r="K3" s="30"/>
      <c r="L3" s="30"/>
      <c r="M3" s="30"/>
      <c r="N3" s="30"/>
      <c r="O3" s="30"/>
      <c r="P3" s="30"/>
      <c r="Q3" s="30"/>
      <c r="R3" s="30"/>
      <c r="S3" s="30"/>
      <c r="T3" s="30"/>
      <c r="U3" s="30"/>
      <c r="V3" s="30"/>
      <c r="W3" s="30"/>
      <c r="X3" s="30"/>
    </row>
    <row r="4" spans="1:24" ht="21" customHeight="1">
      <c r="A4" s="30"/>
      <c r="B4" s="324" t="s">
        <v>360</v>
      </c>
      <c r="C4" s="325"/>
      <c r="D4" s="325"/>
      <c r="E4" s="326" t="s">
        <v>361</v>
      </c>
      <c r="F4" s="327"/>
      <c r="G4" s="327"/>
      <c r="H4" s="30"/>
      <c r="I4" s="324" t="s">
        <v>362</v>
      </c>
      <c r="J4" s="325"/>
      <c r="K4" s="325"/>
      <c r="L4" s="30"/>
      <c r="M4" s="324" t="s">
        <v>363</v>
      </c>
      <c r="N4" s="325"/>
      <c r="O4" s="325"/>
      <c r="P4" s="30"/>
      <c r="Q4" s="324" t="s">
        <v>364</v>
      </c>
      <c r="R4" s="325"/>
      <c r="S4" s="325"/>
      <c r="T4" s="30"/>
      <c r="U4" s="30"/>
      <c r="V4" s="30"/>
      <c r="W4" s="30"/>
      <c r="X4" s="30"/>
    </row>
    <row r="5" spans="1:24" ht="6.75" customHeight="1">
      <c r="A5" s="30"/>
      <c r="B5" s="30"/>
      <c r="C5" s="30"/>
      <c r="D5" s="30"/>
      <c r="E5" s="30"/>
      <c r="F5" s="30"/>
      <c r="G5" s="30"/>
      <c r="H5" s="30"/>
      <c r="I5" s="30"/>
      <c r="J5" s="30"/>
      <c r="K5" s="30"/>
      <c r="L5" s="30"/>
      <c r="M5" s="30"/>
      <c r="N5" s="30"/>
      <c r="O5" s="30"/>
      <c r="P5" s="30"/>
      <c r="Q5" s="30"/>
      <c r="R5" s="30"/>
      <c r="S5" s="30"/>
      <c r="T5" s="30"/>
      <c r="U5" s="30"/>
      <c r="V5" s="30"/>
      <c r="W5" s="30"/>
      <c r="X5" s="30"/>
    </row>
    <row r="6" spans="1:24" ht="18.75" customHeight="1">
      <c r="A6" s="30"/>
      <c r="B6" s="329" t="s">
        <v>43</v>
      </c>
      <c r="C6" s="323"/>
      <c r="D6" s="323"/>
      <c r="E6" s="323"/>
      <c r="F6" s="323"/>
      <c r="G6" s="323"/>
      <c r="H6" s="323"/>
      <c r="I6" s="323"/>
      <c r="J6" s="323"/>
      <c r="K6" s="323"/>
      <c r="L6" s="323"/>
      <c r="M6" s="323"/>
      <c r="N6" s="323"/>
      <c r="O6" s="323"/>
      <c r="P6" s="323"/>
      <c r="Q6" s="323"/>
      <c r="R6" s="323"/>
      <c r="S6" s="323"/>
      <c r="T6" s="323"/>
      <c r="U6" s="323"/>
      <c r="V6" s="323"/>
      <c r="W6" s="323"/>
      <c r="X6" s="323"/>
    </row>
    <row r="7" spans="1:24" ht="18.75" customHeight="1">
      <c r="A7" s="30"/>
      <c r="B7" s="31"/>
      <c r="C7" s="32" t="s">
        <v>365</v>
      </c>
      <c r="D7" s="30"/>
      <c r="E7" s="33" t="s">
        <v>44</v>
      </c>
      <c r="F7" s="30"/>
      <c r="G7" s="30"/>
      <c r="H7" s="34" t="s">
        <v>45</v>
      </c>
      <c r="I7" s="30"/>
      <c r="J7" s="30"/>
      <c r="K7" s="35" t="s">
        <v>46</v>
      </c>
      <c r="L7" s="30"/>
      <c r="M7" s="30"/>
      <c r="N7" s="36" t="s">
        <v>47</v>
      </c>
      <c r="O7" s="30"/>
      <c r="P7" s="30"/>
      <c r="Q7" s="37" t="s">
        <v>48</v>
      </c>
      <c r="R7" s="30"/>
      <c r="S7" s="30"/>
      <c r="T7" s="30"/>
      <c r="U7" s="30"/>
      <c r="V7" s="30"/>
      <c r="W7" s="30"/>
      <c r="X7" s="30"/>
    </row>
    <row r="8" spans="1:24" ht="6.75" customHeight="1">
      <c r="A8" s="30"/>
      <c r="B8" s="30"/>
      <c r="C8" s="30"/>
      <c r="D8" s="30"/>
      <c r="E8" s="30"/>
      <c r="F8" s="30"/>
      <c r="G8" s="30"/>
      <c r="H8" s="30"/>
      <c r="I8" s="30"/>
      <c r="J8" s="30"/>
      <c r="K8" s="30"/>
      <c r="L8" s="30"/>
      <c r="M8" s="30"/>
      <c r="N8" s="30"/>
      <c r="O8" s="30"/>
      <c r="P8" s="30"/>
      <c r="Q8" s="30"/>
      <c r="R8" s="30"/>
      <c r="S8" s="30"/>
      <c r="T8" s="30"/>
      <c r="U8" s="30"/>
      <c r="V8" s="30"/>
      <c r="W8" s="30"/>
      <c r="X8" s="30"/>
    </row>
    <row r="9" spans="1:24" ht="27" customHeight="1">
      <c r="A9" s="30"/>
      <c r="B9" s="330" t="s">
        <v>366</v>
      </c>
      <c r="C9" s="323"/>
      <c r="D9" s="323"/>
      <c r="E9" s="323"/>
      <c r="F9" s="323"/>
      <c r="G9" s="323"/>
      <c r="H9" s="323"/>
      <c r="I9" s="323"/>
      <c r="J9" s="323"/>
      <c r="K9" s="323"/>
      <c r="L9" s="323"/>
      <c r="M9" s="323"/>
      <c r="N9" s="323"/>
      <c r="O9" s="323"/>
      <c r="P9" s="323"/>
      <c r="Q9" s="323"/>
      <c r="R9" s="323"/>
      <c r="S9" s="323"/>
      <c r="T9" s="323"/>
      <c r="U9" s="323"/>
      <c r="V9" s="323"/>
      <c r="W9" s="323"/>
      <c r="X9" s="323"/>
    </row>
    <row r="10" spans="1:24" ht="24.75" customHeight="1">
      <c r="A10" s="30"/>
      <c r="B10" s="38" t="s">
        <v>49</v>
      </c>
      <c r="C10" s="39" t="s">
        <v>50</v>
      </c>
      <c r="D10" s="39" t="s">
        <v>51</v>
      </c>
      <c r="E10" s="39" t="s">
        <v>52</v>
      </c>
      <c r="F10" s="39" t="s">
        <v>53</v>
      </c>
      <c r="G10" s="40" t="s">
        <v>367</v>
      </c>
      <c r="H10" s="40" t="s">
        <v>368</v>
      </c>
      <c r="I10" s="40" t="s">
        <v>369</v>
      </c>
      <c r="J10" s="40" t="s">
        <v>370</v>
      </c>
      <c r="K10" s="40" t="s">
        <v>371</v>
      </c>
      <c r="L10" s="40" t="s">
        <v>372</v>
      </c>
      <c r="M10" s="39" t="s">
        <v>54</v>
      </c>
      <c r="N10" s="39" t="s">
        <v>373</v>
      </c>
      <c r="O10" s="39" t="s">
        <v>55</v>
      </c>
      <c r="P10" s="39" t="s">
        <v>56</v>
      </c>
      <c r="Q10" s="39" t="s">
        <v>57</v>
      </c>
      <c r="R10" s="39" t="s">
        <v>58</v>
      </c>
      <c r="S10" s="39" t="s">
        <v>59</v>
      </c>
      <c r="T10" s="30"/>
      <c r="U10" s="30"/>
      <c r="V10" s="30"/>
      <c r="W10" s="30"/>
      <c r="X10" s="30"/>
    </row>
    <row r="11" spans="1:24" ht="36" customHeight="1">
      <c r="A11" s="30"/>
      <c r="B11" s="41">
        <v>1</v>
      </c>
      <c r="C11" s="42" t="s">
        <v>60</v>
      </c>
      <c r="D11" s="43" t="s">
        <v>61</v>
      </c>
      <c r="E11" s="43" t="s">
        <v>62</v>
      </c>
      <c r="F11" s="44" t="s">
        <v>374</v>
      </c>
      <c r="G11" s="45" t="s">
        <v>375</v>
      </c>
      <c r="H11" s="46" t="s">
        <v>45</v>
      </c>
      <c r="I11" s="45" t="s">
        <v>375</v>
      </c>
      <c r="J11" s="46" t="s">
        <v>45</v>
      </c>
      <c r="K11" s="45" t="s">
        <v>375</v>
      </c>
      <c r="L11" s="46" t="s">
        <v>45</v>
      </c>
      <c r="M11" s="45">
        <v>0</v>
      </c>
      <c r="N11" s="45"/>
      <c r="O11" s="47"/>
      <c r="P11" s="43"/>
      <c r="Q11" s="47"/>
      <c r="R11" s="43"/>
      <c r="S11" s="43"/>
      <c r="T11" s="30"/>
      <c r="U11" s="30"/>
      <c r="V11" s="30"/>
      <c r="W11" s="30"/>
      <c r="X11" s="30"/>
    </row>
    <row r="12" spans="1:24" ht="36" customHeight="1">
      <c r="A12" s="30"/>
      <c r="B12" s="48">
        <v>2</v>
      </c>
      <c r="C12" s="49" t="s">
        <v>63</v>
      </c>
      <c r="D12" s="50" t="s">
        <v>64</v>
      </c>
      <c r="E12" s="50" t="s">
        <v>376</v>
      </c>
      <c r="F12" s="51" t="s">
        <v>377</v>
      </c>
      <c r="G12" s="52" t="s">
        <v>375</v>
      </c>
      <c r="H12" s="53" t="s">
        <v>45</v>
      </c>
      <c r="I12" s="52" t="s">
        <v>378</v>
      </c>
      <c r="J12" s="53" t="s">
        <v>45</v>
      </c>
      <c r="K12" s="52" t="s">
        <v>375</v>
      </c>
      <c r="L12" s="53" t="s">
        <v>45</v>
      </c>
      <c r="M12" s="52">
        <v>0</v>
      </c>
      <c r="N12" s="52"/>
      <c r="O12" s="54"/>
      <c r="P12" s="50"/>
      <c r="Q12" s="54"/>
      <c r="R12" s="50"/>
      <c r="S12" s="50"/>
      <c r="T12" s="30"/>
      <c r="U12" s="30"/>
      <c r="V12" s="30"/>
      <c r="W12" s="30"/>
      <c r="X12" s="30"/>
    </row>
    <row r="13" spans="1:24" ht="36" customHeight="1">
      <c r="A13" s="30"/>
      <c r="B13" s="41">
        <v>3</v>
      </c>
      <c r="C13" s="42" t="s">
        <v>32</v>
      </c>
      <c r="D13" s="43" t="s">
        <v>379</v>
      </c>
      <c r="E13" s="43" t="s">
        <v>65</v>
      </c>
      <c r="F13" s="44" t="s">
        <v>380</v>
      </c>
      <c r="G13" s="45" t="s">
        <v>375</v>
      </c>
      <c r="H13" s="46" t="s">
        <v>45</v>
      </c>
      <c r="I13" s="45" t="s">
        <v>375</v>
      </c>
      <c r="J13" s="46" t="s">
        <v>45</v>
      </c>
      <c r="K13" s="45" t="s">
        <v>375</v>
      </c>
      <c r="L13" s="46" t="s">
        <v>45</v>
      </c>
      <c r="M13" s="45">
        <v>0</v>
      </c>
      <c r="N13" s="45"/>
      <c r="O13" s="47"/>
      <c r="P13" s="43"/>
      <c r="Q13" s="47"/>
      <c r="R13" s="43"/>
      <c r="S13" s="43"/>
      <c r="T13" s="30"/>
      <c r="U13" s="30"/>
      <c r="V13" s="30"/>
      <c r="W13" s="30"/>
      <c r="X13" s="30"/>
    </row>
    <row r="14" spans="1:24" ht="36" customHeight="1">
      <c r="A14" s="30"/>
      <c r="B14" s="48">
        <v>4</v>
      </c>
      <c r="C14" s="49" t="s">
        <v>66</v>
      </c>
      <c r="D14" s="50" t="s">
        <v>67</v>
      </c>
      <c r="E14" s="54" t="s">
        <v>381</v>
      </c>
      <c r="F14" s="51" t="s">
        <v>382</v>
      </c>
      <c r="G14" s="52"/>
      <c r="H14" s="53" t="s">
        <v>45</v>
      </c>
      <c r="I14" s="52"/>
      <c r="J14" s="53" t="s">
        <v>45</v>
      </c>
      <c r="K14" s="52" t="s">
        <v>383</v>
      </c>
      <c r="L14" s="53" t="s">
        <v>45</v>
      </c>
      <c r="M14" s="52">
        <v>0</v>
      </c>
      <c r="N14" s="52"/>
      <c r="O14" s="54"/>
      <c r="P14" s="50"/>
      <c r="Q14" s="54"/>
      <c r="R14" s="50"/>
      <c r="S14" s="50"/>
      <c r="T14" s="30"/>
      <c r="U14" s="30"/>
      <c r="V14" s="30"/>
      <c r="W14" s="30"/>
      <c r="X14" s="30"/>
    </row>
    <row r="15" spans="1:24" ht="36" customHeight="1">
      <c r="A15" s="30"/>
      <c r="B15" s="41">
        <v>5</v>
      </c>
      <c r="C15" s="42" t="s">
        <v>68</v>
      </c>
      <c r="D15" s="43" t="s">
        <v>69</v>
      </c>
      <c r="E15" s="43" t="s">
        <v>384</v>
      </c>
      <c r="F15" s="44" t="s">
        <v>70</v>
      </c>
      <c r="G15" s="45"/>
      <c r="H15" s="46" t="s">
        <v>45</v>
      </c>
      <c r="I15" s="45"/>
      <c r="J15" s="46" t="s">
        <v>45</v>
      </c>
      <c r="K15" s="45"/>
      <c r="L15" s="46" t="s">
        <v>45</v>
      </c>
      <c r="M15" s="45">
        <v>0</v>
      </c>
      <c r="N15" s="45"/>
      <c r="O15" s="47"/>
      <c r="P15" s="43"/>
      <c r="Q15" s="47"/>
      <c r="R15" s="43"/>
      <c r="S15" s="43"/>
      <c r="T15" s="30"/>
      <c r="U15" s="30"/>
      <c r="V15" s="30"/>
      <c r="W15" s="30"/>
      <c r="X15" s="30"/>
    </row>
    <row r="16" spans="1:24" ht="6.75" customHeight="1">
      <c r="A16" s="30"/>
      <c r="B16" s="30"/>
      <c r="C16" s="30"/>
      <c r="D16" s="30"/>
      <c r="E16" s="30"/>
      <c r="F16" s="30"/>
      <c r="G16" s="30"/>
      <c r="H16" s="30"/>
      <c r="I16" s="30"/>
      <c r="J16" s="30"/>
      <c r="K16" s="30"/>
      <c r="L16" s="30"/>
      <c r="M16" s="30"/>
      <c r="N16" s="30"/>
      <c r="O16" s="30"/>
      <c r="P16" s="30"/>
      <c r="Q16" s="30"/>
      <c r="R16" s="30"/>
      <c r="S16" s="30"/>
      <c r="T16" s="30"/>
      <c r="U16" s="30"/>
      <c r="V16" s="30"/>
      <c r="W16" s="30"/>
      <c r="X16" s="30"/>
    </row>
    <row r="17" spans="1:24" ht="27" customHeight="1">
      <c r="A17" s="30"/>
      <c r="B17" s="330" t="s">
        <v>385</v>
      </c>
      <c r="C17" s="323"/>
      <c r="D17" s="323"/>
      <c r="E17" s="323"/>
      <c r="F17" s="323"/>
      <c r="G17" s="323"/>
      <c r="H17" s="323"/>
      <c r="I17" s="323"/>
      <c r="J17" s="323"/>
      <c r="K17" s="323"/>
      <c r="L17" s="323"/>
      <c r="M17" s="323"/>
      <c r="N17" s="323"/>
      <c r="O17" s="323"/>
      <c r="P17" s="323"/>
      <c r="Q17" s="323"/>
      <c r="R17" s="323"/>
      <c r="S17" s="323"/>
      <c r="T17" s="323"/>
      <c r="U17" s="323"/>
      <c r="V17" s="323"/>
      <c r="W17" s="323"/>
      <c r="X17" s="323"/>
    </row>
    <row r="18" spans="1:24" ht="14.5">
      <c r="A18" s="30"/>
      <c r="B18" s="55"/>
      <c r="C18" s="56"/>
      <c r="D18" s="56"/>
      <c r="E18" s="56"/>
      <c r="F18" s="56"/>
      <c r="G18" s="56"/>
      <c r="H18" s="56"/>
      <c r="I18" s="56"/>
      <c r="J18" s="331" t="s">
        <v>386</v>
      </c>
      <c r="K18" s="332"/>
      <c r="L18" s="332"/>
      <c r="M18" s="332"/>
      <c r="N18" s="333" t="s">
        <v>387</v>
      </c>
      <c r="O18" s="323"/>
      <c r="P18" s="323"/>
      <c r="Q18" s="323"/>
      <c r="R18" s="334" t="s">
        <v>388</v>
      </c>
      <c r="S18" s="323"/>
      <c r="T18" s="323"/>
      <c r="U18" s="323"/>
      <c r="V18" s="30"/>
      <c r="W18" s="30"/>
      <c r="X18" s="30"/>
    </row>
    <row r="19" spans="1:24" ht="21" customHeight="1">
      <c r="A19" s="30"/>
      <c r="B19" s="38" t="s">
        <v>49</v>
      </c>
      <c r="C19" s="39" t="s">
        <v>71</v>
      </c>
      <c r="D19" s="39" t="s">
        <v>72</v>
      </c>
      <c r="E19" s="39" t="s">
        <v>389</v>
      </c>
      <c r="F19" s="39" t="s">
        <v>73</v>
      </c>
      <c r="G19" s="39" t="s">
        <v>74</v>
      </c>
      <c r="H19" s="39" t="s">
        <v>75</v>
      </c>
      <c r="I19" s="39" t="s">
        <v>76</v>
      </c>
      <c r="J19" s="40" t="s">
        <v>77</v>
      </c>
      <c r="K19" s="40" t="s">
        <v>78</v>
      </c>
      <c r="L19" s="40" t="s">
        <v>79</v>
      </c>
      <c r="M19" s="40" t="s">
        <v>80</v>
      </c>
      <c r="N19" s="40" t="s">
        <v>81</v>
      </c>
      <c r="O19" s="40" t="s">
        <v>82</v>
      </c>
      <c r="P19" s="40" t="s">
        <v>83</v>
      </c>
      <c r="Q19" s="40" t="s">
        <v>84</v>
      </c>
      <c r="R19" s="40" t="s">
        <v>85</v>
      </c>
      <c r="S19" s="40" t="s">
        <v>86</v>
      </c>
      <c r="T19" s="40" t="s">
        <v>87</v>
      </c>
      <c r="U19" s="40" t="s">
        <v>88</v>
      </c>
      <c r="V19" s="30"/>
      <c r="W19" s="30"/>
      <c r="X19" s="30"/>
    </row>
    <row r="20" spans="1:24" ht="27" customHeight="1">
      <c r="A20" s="30"/>
      <c r="B20" s="41" t="s">
        <v>89</v>
      </c>
      <c r="C20" s="57" t="s">
        <v>90</v>
      </c>
      <c r="D20" s="58" t="s">
        <v>390</v>
      </c>
      <c r="E20" s="43" t="s">
        <v>391</v>
      </c>
      <c r="F20" s="46" t="s">
        <v>45</v>
      </c>
      <c r="G20" s="45" t="s">
        <v>392</v>
      </c>
      <c r="H20" s="45"/>
      <c r="I20" s="45">
        <v>0</v>
      </c>
      <c r="J20" s="59" t="s">
        <v>91</v>
      </c>
      <c r="K20" s="59" t="s">
        <v>91</v>
      </c>
      <c r="L20" s="59" t="s">
        <v>91</v>
      </c>
      <c r="M20" s="59" t="s">
        <v>91</v>
      </c>
      <c r="N20" s="60"/>
      <c r="O20" s="60"/>
      <c r="P20" s="60"/>
      <c r="Q20" s="60"/>
      <c r="R20" s="60"/>
      <c r="S20" s="60"/>
      <c r="T20" s="60"/>
      <c r="U20" s="60"/>
      <c r="V20" s="61"/>
      <c r="W20" s="61"/>
      <c r="X20" s="61"/>
    </row>
    <row r="21" spans="1:24" ht="27" customHeight="1">
      <c r="A21" s="30"/>
      <c r="B21" s="48" t="s">
        <v>92</v>
      </c>
      <c r="C21" s="62" t="s">
        <v>93</v>
      </c>
      <c r="D21" s="63" t="s">
        <v>393</v>
      </c>
      <c r="E21" s="50" t="s">
        <v>394</v>
      </c>
      <c r="F21" s="53" t="s">
        <v>45</v>
      </c>
      <c r="G21" s="52" t="s">
        <v>395</v>
      </c>
      <c r="H21" s="52"/>
      <c r="I21" s="52">
        <v>0</v>
      </c>
      <c r="J21" s="60"/>
      <c r="K21" s="64" t="s">
        <v>91</v>
      </c>
      <c r="L21" s="64" t="s">
        <v>91</v>
      </c>
      <c r="M21" s="64" t="s">
        <v>91</v>
      </c>
      <c r="N21" s="64" t="s">
        <v>91</v>
      </c>
      <c r="O21" s="60"/>
      <c r="P21" s="60"/>
      <c r="Q21" s="60"/>
      <c r="R21" s="60"/>
      <c r="S21" s="60"/>
      <c r="T21" s="60"/>
      <c r="U21" s="60"/>
      <c r="V21" s="60"/>
      <c r="W21" s="60"/>
      <c r="X21" s="60"/>
    </row>
    <row r="22" spans="1:24" ht="27" customHeight="1">
      <c r="A22" s="30"/>
      <c r="B22" s="41" t="s">
        <v>94</v>
      </c>
      <c r="C22" s="65" t="s">
        <v>95</v>
      </c>
      <c r="D22" s="58" t="s">
        <v>396</v>
      </c>
      <c r="E22" s="43" t="s">
        <v>397</v>
      </c>
      <c r="F22" s="46" t="s">
        <v>45</v>
      </c>
      <c r="G22" s="45" t="s">
        <v>398</v>
      </c>
      <c r="H22" s="45"/>
      <c r="I22" s="45">
        <v>0</v>
      </c>
      <c r="J22" s="60"/>
      <c r="K22" s="60"/>
      <c r="L22" s="60"/>
      <c r="M22" s="60"/>
      <c r="N22" s="66" t="s">
        <v>91</v>
      </c>
      <c r="O22" s="66" t="s">
        <v>91</v>
      </c>
      <c r="P22" s="60"/>
      <c r="Q22" s="60"/>
      <c r="R22" s="60"/>
      <c r="S22" s="60"/>
      <c r="T22" s="60"/>
      <c r="U22" s="60"/>
      <c r="V22" s="60"/>
      <c r="W22" s="60"/>
      <c r="X22" s="60"/>
    </row>
    <row r="23" spans="1:24" ht="27" customHeight="1">
      <c r="A23" s="30"/>
      <c r="B23" s="48" t="s">
        <v>96</v>
      </c>
      <c r="C23" s="67" t="s">
        <v>90</v>
      </c>
      <c r="D23" s="63" t="s">
        <v>97</v>
      </c>
      <c r="E23" s="50" t="s">
        <v>98</v>
      </c>
      <c r="F23" s="53" t="s">
        <v>45</v>
      </c>
      <c r="G23" s="52" t="s">
        <v>399</v>
      </c>
      <c r="H23" s="52"/>
      <c r="I23" s="52">
        <v>0</v>
      </c>
      <c r="J23" s="60"/>
      <c r="K23" s="59" t="s">
        <v>91</v>
      </c>
      <c r="L23" s="59" t="s">
        <v>91</v>
      </c>
      <c r="M23" s="59" t="s">
        <v>91</v>
      </c>
      <c r="N23" s="60"/>
      <c r="O23" s="60"/>
      <c r="P23" s="60"/>
      <c r="Q23" s="60"/>
      <c r="R23" s="60"/>
      <c r="S23" s="60"/>
      <c r="T23" s="60"/>
      <c r="U23" s="60"/>
      <c r="V23" s="60"/>
      <c r="W23" s="60"/>
      <c r="X23" s="60"/>
    </row>
    <row r="24" spans="1:24" ht="27" customHeight="1">
      <c r="A24" s="30"/>
      <c r="B24" s="41" t="s">
        <v>99</v>
      </c>
      <c r="C24" s="65" t="s">
        <v>95</v>
      </c>
      <c r="D24" s="58" t="s">
        <v>400</v>
      </c>
      <c r="E24" s="43" t="s">
        <v>401</v>
      </c>
      <c r="F24" s="46" t="s">
        <v>45</v>
      </c>
      <c r="G24" s="45" t="s">
        <v>402</v>
      </c>
      <c r="H24" s="45"/>
      <c r="I24" s="45">
        <v>0</v>
      </c>
      <c r="J24" s="60"/>
      <c r="K24" s="60"/>
      <c r="L24" s="60"/>
      <c r="M24" s="66" t="s">
        <v>91</v>
      </c>
      <c r="N24" s="66" t="s">
        <v>91</v>
      </c>
      <c r="O24" s="60"/>
      <c r="P24" s="60"/>
      <c r="Q24" s="60"/>
      <c r="R24" s="60"/>
      <c r="S24" s="60"/>
      <c r="T24" s="60"/>
      <c r="U24" s="60"/>
      <c r="V24" s="60"/>
      <c r="W24" s="60"/>
      <c r="X24" s="60"/>
    </row>
    <row r="25" spans="1:24" ht="27" customHeight="1">
      <c r="A25" s="30"/>
      <c r="B25" s="48" t="s">
        <v>100</v>
      </c>
      <c r="C25" s="67" t="s">
        <v>90</v>
      </c>
      <c r="D25" s="63" t="s">
        <v>101</v>
      </c>
      <c r="E25" s="54" t="s">
        <v>403</v>
      </c>
      <c r="F25" s="53" t="s">
        <v>45</v>
      </c>
      <c r="G25" s="52" t="s">
        <v>404</v>
      </c>
      <c r="H25" s="52"/>
      <c r="I25" s="52">
        <v>0</v>
      </c>
      <c r="J25" s="60"/>
      <c r="K25" s="60"/>
      <c r="L25" s="60"/>
      <c r="M25" s="60"/>
      <c r="N25" s="60"/>
      <c r="O25" s="59" t="s">
        <v>91</v>
      </c>
      <c r="P25" s="59" t="s">
        <v>91</v>
      </c>
      <c r="Q25" s="60"/>
      <c r="R25" s="60"/>
      <c r="S25" s="60"/>
      <c r="T25" s="60"/>
      <c r="U25" s="60"/>
      <c r="V25" s="60"/>
      <c r="W25" s="60"/>
      <c r="X25" s="60"/>
    </row>
    <row r="26" spans="1:24" ht="27" customHeight="1">
      <c r="A26" s="30"/>
      <c r="B26" s="41" t="s">
        <v>102</v>
      </c>
      <c r="C26" s="68" t="s">
        <v>93</v>
      </c>
      <c r="D26" s="69" t="s">
        <v>405</v>
      </c>
      <c r="E26" s="43" t="s">
        <v>406</v>
      </c>
      <c r="F26" s="46" t="s">
        <v>45</v>
      </c>
      <c r="G26" s="45" t="s">
        <v>407</v>
      </c>
      <c r="H26" s="45"/>
      <c r="I26" s="45">
        <v>0</v>
      </c>
      <c r="J26" s="60"/>
      <c r="K26" s="60"/>
      <c r="L26" s="60"/>
      <c r="M26" s="60"/>
      <c r="N26" s="60"/>
      <c r="O26" s="60"/>
      <c r="P26" s="64" t="s">
        <v>91</v>
      </c>
      <c r="Q26" s="64" t="s">
        <v>91</v>
      </c>
      <c r="R26" s="60"/>
      <c r="S26" s="60"/>
      <c r="T26" s="60"/>
      <c r="U26" s="60"/>
      <c r="V26" s="60"/>
      <c r="W26" s="60"/>
      <c r="X26" s="60"/>
    </row>
    <row r="27" spans="1:24" ht="27" customHeight="1">
      <c r="A27" s="30"/>
      <c r="B27" s="48" t="s">
        <v>103</v>
      </c>
      <c r="C27" s="67" t="s">
        <v>90</v>
      </c>
      <c r="D27" s="63" t="s">
        <v>408</v>
      </c>
      <c r="E27" s="50" t="s">
        <v>409</v>
      </c>
      <c r="F27" s="53" t="s">
        <v>45</v>
      </c>
      <c r="G27" s="52" t="s">
        <v>410</v>
      </c>
      <c r="H27" s="52"/>
      <c r="I27" s="52">
        <v>0</v>
      </c>
      <c r="J27" s="60"/>
      <c r="K27" s="60"/>
      <c r="L27" s="60"/>
      <c r="M27" s="60"/>
      <c r="N27" s="60"/>
      <c r="O27" s="60"/>
      <c r="P27" s="60"/>
      <c r="Q27" s="59" t="s">
        <v>91</v>
      </c>
      <c r="R27" s="59" t="s">
        <v>91</v>
      </c>
      <c r="S27" s="60"/>
      <c r="T27" s="60"/>
      <c r="U27" s="60"/>
      <c r="V27" s="60"/>
      <c r="W27" s="60"/>
      <c r="X27" s="60"/>
    </row>
    <row r="28" spans="1:24" ht="27" customHeight="1">
      <c r="A28" s="30"/>
      <c r="B28" s="41" t="s">
        <v>104</v>
      </c>
      <c r="C28" s="65" t="s">
        <v>95</v>
      </c>
      <c r="D28" s="58" t="s">
        <v>105</v>
      </c>
      <c r="E28" s="47" t="s">
        <v>411</v>
      </c>
      <c r="F28" s="46" t="s">
        <v>45</v>
      </c>
      <c r="G28" s="45" t="s">
        <v>412</v>
      </c>
      <c r="H28" s="45"/>
      <c r="I28" s="45">
        <v>0</v>
      </c>
      <c r="J28" s="60"/>
      <c r="K28" s="60"/>
      <c r="L28" s="60"/>
      <c r="M28" s="60"/>
      <c r="N28" s="60"/>
      <c r="O28" s="60"/>
      <c r="P28" s="60"/>
      <c r="Q28" s="60"/>
      <c r="R28" s="66" t="s">
        <v>91</v>
      </c>
      <c r="S28" s="66" t="s">
        <v>91</v>
      </c>
      <c r="T28" s="60"/>
      <c r="U28" s="60"/>
      <c r="V28" s="60"/>
      <c r="W28" s="60"/>
      <c r="X28" s="60"/>
    </row>
    <row r="29" spans="1:24" ht="27" customHeight="1">
      <c r="A29" s="30"/>
      <c r="B29" s="48" t="s">
        <v>106</v>
      </c>
      <c r="C29" s="67" t="s">
        <v>90</v>
      </c>
      <c r="D29" s="63" t="s">
        <v>107</v>
      </c>
      <c r="E29" s="50" t="s">
        <v>413</v>
      </c>
      <c r="F29" s="53" t="s">
        <v>45</v>
      </c>
      <c r="G29" s="52" t="s">
        <v>414</v>
      </c>
      <c r="H29" s="52"/>
      <c r="I29" s="52">
        <v>0</v>
      </c>
      <c r="J29" s="60"/>
      <c r="K29" s="60"/>
      <c r="L29" s="60"/>
      <c r="M29" s="60"/>
      <c r="N29" s="60"/>
      <c r="O29" s="60"/>
      <c r="P29" s="60"/>
      <c r="Q29" s="60"/>
      <c r="R29" s="60"/>
      <c r="S29" s="60"/>
      <c r="T29" s="59" t="s">
        <v>91</v>
      </c>
      <c r="U29" s="59" t="s">
        <v>91</v>
      </c>
      <c r="V29" s="60"/>
      <c r="W29" s="60"/>
      <c r="X29" s="60"/>
    </row>
    <row r="30" spans="1:24" ht="27" customHeight="1">
      <c r="A30" s="30"/>
      <c r="B30" s="41" t="s">
        <v>108</v>
      </c>
      <c r="C30" s="68" t="s">
        <v>93</v>
      </c>
      <c r="D30" s="69" t="s">
        <v>415</v>
      </c>
      <c r="E30" s="43" t="s">
        <v>416</v>
      </c>
      <c r="F30" s="46" t="s">
        <v>45</v>
      </c>
      <c r="G30" s="45" t="s">
        <v>417</v>
      </c>
      <c r="H30" s="45"/>
      <c r="I30" s="45">
        <v>0</v>
      </c>
      <c r="J30" s="60"/>
      <c r="K30" s="60"/>
      <c r="L30" s="60"/>
      <c r="M30" s="60"/>
      <c r="N30" s="60"/>
      <c r="O30" s="60"/>
      <c r="P30" s="60"/>
      <c r="Q30" s="60"/>
      <c r="R30" s="60"/>
      <c r="S30" s="60"/>
      <c r="T30" s="60"/>
      <c r="U30" s="64" t="s">
        <v>91</v>
      </c>
      <c r="V30" s="64" t="s">
        <v>91</v>
      </c>
      <c r="W30" s="60"/>
      <c r="X30" s="60"/>
    </row>
    <row r="31" spans="1:24" ht="27" customHeight="1">
      <c r="A31" s="30"/>
      <c r="B31" s="48" t="s">
        <v>109</v>
      </c>
      <c r="C31" s="70" t="s">
        <v>110</v>
      </c>
      <c r="D31" s="71" t="s">
        <v>418</v>
      </c>
      <c r="E31" s="50" t="s">
        <v>419</v>
      </c>
      <c r="F31" s="53" t="s">
        <v>45</v>
      </c>
      <c r="G31" s="52" t="s">
        <v>420</v>
      </c>
      <c r="H31" s="52"/>
      <c r="I31" s="52">
        <v>0</v>
      </c>
      <c r="J31" s="60"/>
      <c r="K31" s="60"/>
      <c r="L31" s="60"/>
      <c r="M31" s="60"/>
      <c r="N31" s="60"/>
      <c r="O31" s="60"/>
      <c r="P31" s="60"/>
      <c r="Q31" s="60"/>
      <c r="R31" s="60"/>
      <c r="S31" s="60"/>
      <c r="T31" s="60"/>
      <c r="U31" s="60"/>
      <c r="V31" s="72" t="s">
        <v>91</v>
      </c>
      <c r="W31" s="72" t="s">
        <v>91</v>
      </c>
      <c r="X31" s="72" t="s">
        <v>91</v>
      </c>
    </row>
    <row r="32" spans="1:24" ht="6.75" customHeight="1">
      <c r="A32" s="30"/>
      <c r="B32" s="30"/>
      <c r="C32" s="30"/>
      <c r="D32" s="30"/>
      <c r="E32" s="30"/>
      <c r="F32" s="30"/>
      <c r="G32" s="30"/>
      <c r="H32" s="30"/>
      <c r="I32" s="30"/>
      <c r="J32" s="30"/>
      <c r="K32" s="30"/>
      <c r="L32" s="30"/>
      <c r="M32" s="30"/>
      <c r="N32" s="30"/>
      <c r="O32" s="30"/>
      <c r="P32" s="30"/>
      <c r="Q32" s="30"/>
      <c r="R32" s="30"/>
      <c r="S32" s="30"/>
      <c r="T32" s="30"/>
      <c r="U32" s="30"/>
      <c r="V32" s="30"/>
      <c r="W32" s="30"/>
      <c r="X32" s="30"/>
    </row>
    <row r="33" spans="1:24" ht="27" customHeight="1">
      <c r="A33" s="30"/>
      <c r="B33" s="328" t="s">
        <v>421</v>
      </c>
      <c r="C33" s="323"/>
      <c r="D33" s="323"/>
      <c r="E33" s="323"/>
      <c r="F33" s="323"/>
      <c r="G33" s="323"/>
      <c r="H33" s="323"/>
      <c r="I33" s="323"/>
      <c r="J33" s="323"/>
      <c r="K33" s="323"/>
      <c r="L33" s="323"/>
      <c r="M33" s="323"/>
      <c r="N33" s="323"/>
      <c r="O33" s="323"/>
      <c r="P33" s="323"/>
      <c r="Q33" s="323"/>
      <c r="R33" s="323"/>
      <c r="S33" s="323"/>
      <c r="T33" s="323"/>
      <c r="U33" s="323"/>
      <c r="V33" s="323"/>
      <c r="W33" s="323"/>
      <c r="X33" s="323"/>
    </row>
    <row r="34" spans="1:24" ht="24" customHeight="1">
      <c r="A34" s="30"/>
      <c r="B34" s="36" t="s">
        <v>111</v>
      </c>
      <c r="C34" s="73" t="s">
        <v>112</v>
      </c>
      <c r="D34" s="73" t="s">
        <v>113</v>
      </c>
      <c r="E34" s="73" t="s">
        <v>114</v>
      </c>
      <c r="F34" s="73" t="s">
        <v>115</v>
      </c>
      <c r="G34" s="73" t="s">
        <v>116</v>
      </c>
      <c r="H34" s="73" t="s">
        <v>117</v>
      </c>
      <c r="I34" s="73" t="s">
        <v>118</v>
      </c>
      <c r="J34" s="73" t="s">
        <v>119</v>
      </c>
      <c r="K34" s="73" t="s">
        <v>120</v>
      </c>
      <c r="L34" s="73" t="s">
        <v>121</v>
      </c>
      <c r="M34" s="30"/>
      <c r="N34" s="30"/>
      <c r="O34" s="30"/>
      <c r="P34" s="30"/>
      <c r="Q34" s="30"/>
      <c r="R34" s="30"/>
      <c r="S34" s="30"/>
      <c r="T34" s="30"/>
      <c r="U34" s="30"/>
      <c r="V34" s="30"/>
      <c r="W34" s="30"/>
      <c r="X34" s="30"/>
    </row>
    <row r="35" spans="1:24" ht="36" customHeight="1">
      <c r="A35" s="30"/>
      <c r="B35" s="74" t="s">
        <v>122</v>
      </c>
      <c r="C35" s="75" t="s">
        <v>123</v>
      </c>
      <c r="D35" s="76" t="s">
        <v>124</v>
      </c>
      <c r="E35" s="77" t="s">
        <v>125</v>
      </c>
      <c r="F35" s="77" t="s">
        <v>126</v>
      </c>
      <c r="G35" s="78" t="s">
        <v>126</v>
      </c>
      <c r="H35" s="75" t="s">
        <v>127</v>
      </c>
      <c r="I35" s="75" t="s">
        <v>128</v>
      </c>
      <c r="J35" s="77" t="s">
        <v>129</v>
      </c>
      <c r="K35" s="77" t="s">
        <v>422</v>
      </c>
      <c r="L35" s="77" t="s">
        <v>130</v>
      </c>
      <c r="M35" s="30"/>
      <c r="N35" s="30"/>
      <c r="O35" s="30"/>
      <c r="P35" s="30"/>
      <c r="Q35" s="30"/>
      <c r="R35" s="30"/>
      <c r="S35" s="30"/>
      <c r="T35" s="30"/>
      <c r="U35" s="30"/>
      <c r="V35" s="30"/>
      <c r="W35" s="30"/>
      <c r="X35" s="30"/>
    </row>
    <row r="36" spans="1:24" ht="36" customHeight="1">
      <c r="A36" s="30"/>
      <c r="B36" s="79" t="s">
        <v>131</v>
      </c>
      <c r="C36" s="50" t="s">
        <v>132</v>
      </c>
      <c r="D36" s="80" t="s">
        <v>133</v>
      </c>
      <c r="E36" s="53" t="s">
        <v>125</v>
      </c>
      <c r="F36" s="53" t="s">
        <v>125</v>
      </c>
      <c r="G36" s="81" t="s">
        <v>125</v>
      </c>
      <c r="H36" s="50" t="s">
        <v>423</v>
      </c>
      <c r="I36" s="50" t="s">
        <v>134</v>
      </c>
      <c r="J36" s="53" t="s">
        <v>424</v>
      </c>
      <c r="K36" s="53" t="s">
        <v>135</v>
      </c>
      <c r="L36" s="53" t="s">
        <v>130</v>
      </c>
      <c r="M36" s="30"/>
      <c r="N36" s="30"/>
      <c r="O36" s="30"/>
      <c r="P36" s="30"/>
      <c r="Q36" s="30"/>
      <c r="R36" s="30"/>
      <c r="S36" s="30"/>
      <c r="T36" s="30"/>
      <c r="U36" s="30"/>
      <c r="V36" s="30"/>
      <c r="W36" s="30"/>
      <c r="X36" s="30"/>
    </row>
    <row r="37" spans="1:24" ht="36" customHeight="1">
      <c r="A37" s="30"/>
      <c r="B37" s="74" t="s">
        <v>136</v>
      </c>
      <c r="C37" s="75" t="s">
        <v>137</v>
      </c>
      <c r="D37" s="76" t="s">
        <v>138</v>
      </c>
      <c r="E37" s="77" t="s">
        <v>139</v>
      </c>
      <c r="F37" s="77" t="s">
        <v>126</v>
      </c>
      <c r="G37" s="82" t="s">
        <v>125</v>
      </c>
      <c r="H37" s="75" t="s">
        <v>140</v>
      </c>
      <c r="I37" s="75" t="s">
        <v>141</v>
      </c>
      <c r="J37" s="77" t="s">
        <v>129</v>
      </c>
      <c r="K37" s="77" t="s">
        <v>142</v>
      </c>
      <c r="L37" s="77" t="s">
        <v>130</v>
      </c>
      <c r="M37" s="30"/>
      <c r="N37" s="30"/>
      <c r="O37" s="30"/>
      <c r="P37" s="30"/>
      <c r="Q37" s="30"/>
      <c r="R37" s="30"/>
      <c r="S37" s="30"/>
      <c r="T37" s="30"/>
      <c r="U37" s="30"/>
      <c r="V37" s="30"/>
      <c r="W37" s="30"/>
      <c r="X37" s="30"/>
    </row>
    <row r="38" spans="1:24" ht="36" customHeight="1">
      <c r="A38" s="30"/>
      <c r="B38" s="79" t="s">
        <v>143</v>
      </c>
      <c r="C38" s="50" t="s">
        <v>144</v>
      </c>
      <c r="D38" s="80" t="s">
        <v>108</v>
      </c>
      <c r="E38" s="53" t="s">
        <v>125</v>
      </c>
      <c r="F38" s="53" t="s">
        <v>125</v>
      </c>
      <c r="G38" s="81" t="s">
        <v>125</v>
      </c>
      <c r="H38" s="54" t="s">
        <v>425</v>
      </c>
      <c r="I38" s="50" t="s">
        <v>145</v>
      </c>
      <c r="J38" s="53" t="s">
        <v>146</v>
      </c>
      <c r="K38" s="53" t="s">
        <v>147</v>
      </c>
      <c r="L38" s="53" t="s">
        <v>130</v>
      </c>
      <c r="M38" s="30"/>
      <c r="N38" s="30"/>
      <c r="O38" s="30"/>
      <c r="P38" s="30"/>
      <c r="Q38" s="30"/>
      <c r="R38" s="30"/>
      <c r="S38" s="30"/>
      <c r="T38" s="30"/>
      <c r="U38" s="30"/>
      <c r="V38" s="30"/>
      <c r="W38" s="30"/>
      <c r="X38" s="30"/>
    </row>
  </sheetData>
  <mergeCells count="13">
    <mergeCell ref="B33:X33"/>
    <mergeCell ref="B6:X6"/>
    <mergeCell ref="B9:X9"/>
    <mergeCell ref="B17:X17"/>
    <mergeCell ref="J18:M18"/>
    <mergeCell ref="N18:Q18"/>
    <mergeCell ref="R18:U18"/>
    <mergeCell ref="B2:X2"/>
    <mergeCell ref="B4:D4"/>
    <mergeCell ref="E4:G4"/>
    <mergeCell ref="I4:K4"/>
    <mergeCell ref="M4:O4"/>
    <mergeCell ref="Q4:S4"/>
  </mergeCells>
  <phoneticPr fontId="14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0"/>
  <sheetViews>
    <sheetView zoomScale="70" zoomScaleNormal="70" workbookViewId="0">
      <pane ySplit="7" topLeftCell="A8" activePane="bottomLeft" state="frozen"/>
      <selection pane="bottomLeft" activeCell="B4" sqref="B4:E4"/>
    </sheetView>
  </sheetViews>
  <sheetFormatPr defaultColWidth="9.6328125" defaultRowHeight="18" customHeight="1"/>
  <cols>
    <col min="1" max="1" width="2.6328125" customWidth="1"/>
    <col min="2" max="2" width="5.6328125" customWidth="1"/>
    <col min="3" max="3" width="13.6328125" customWidth="1"/>
    <col min="4" max="4" width="22.6328125" customWidth="1"/>
    <col min="5" max="5" width="24.6328125" customWidth="1"/>
    <col min="6" max="6" width="13.6328125" customWidth="1"/>
    <col min="7" max="7" width="10.6328125" customWidth="1"/>
    <col min="8" max="8" width="17.08984375" customWidth="1"/>
    <col min="9" max="9" width="8.6328125" customWidth="1"/>
    <col min="10" max="10" width="18.54296875" customWidth="1"/>
    <col min="11" max="11" width="8.6328125" customWidth="1"/>
    <col min="12" max="12" width="12.1796875" customWidth="1"/>
    <col min="13" max="16" width="8.6328125" customWidth="1"/>
  </cols>
  <sheetData>
    <row r="1" spans="1:16" ht="6" customHeight="1">
      <c r="A1" s="83"/>
      <c r="B1" s="83"/>
      <c r="C1" s="83"/>
      <c r="D1" s="83"/>
      <c r="E1" s="83"/>
      <c r="F1" s="83"/>
      <c r="G1" s="83"/>
      <c r="H1" s="83"/>
      <c r="I1" s="83"/>
      <c r="J1" s="83"/>
      <c r="K1" s="83"/>
      <c r="L1" s="83"/>
      <c r="M1" s="83"/>
      <c r="N1" s="83"/>
      <c r="O1" s="83"/>
      <c r="P1" s="83"/>
    </row>
    <row r="2" spans="1:16" ht="39" customHeight="1">
      <c r="A2" s="83"/>
      <c r="B2" s="301" t="s">
        <v>426</v>
      </c>
      <c r="C2" s="302"/>
      <c r="D2" s="302"/>
      <c r="E2" s="302"/>
      <c r="F2" s="302"/>
      <c r="G2" s="302"/>
      <c r="H2" s="302"/>
      <c r="I2" s="302"/>
      <c r="J2" s="302"/>
      <c r="K2" s="302"/>
      <c r="L2" s="302"/>
      <c r="M2" s="302"/>
      <c r="N2" s="302"/>
      <c r="O2" s="302"/>
      <c r="P2" s="302"/>
    </row>
    <row r="3" spans="1:16" ht="7.5" customHeight="1">
      <c r="A3" s="83"/>
      <c r="B3" s="83"/>
      <c r="C3" s="83"/>
      <c r="D3" s="83"/>
      <c r="E3" s="83"/>
      <c r="F3" s="83"/>
      <c r="G3" s="83"/>
      <c r="H3" s="83"/>
      <c r="I3" s="83"/>
      <c r="J3" s="83"/>
      <c r="K3" s="83"/>
      <c r="L3" s="83"/>
      <c r="M3" s="83"/>
      <c r="N3" s="83"/>
      <c r="O3" s="83"/>
      <c r="P3" s="83"/>
    </row>
    <row r="4" spans="1:16" ht="21" customHeight="1">
      <c r="A4" s="83"/>
      <c r="B4" s="343" t="s">
        <v>463</v>
      </c>
      <c r="C4" s="360"/>
      <c r="D4" s="360"/>
      <c r="E4" s="360"/>
      <c r="F4" s="303" t="s">
        <v>427</v>
      </c>
      <c r="G4" s="304"/>
      <c r="H4" s="304"/>
      <c r="I4" s="304"/>
      <c r="J4" s="303" t="s">
        <v>428</v>
      </c>
      <c r="K4" s="304"/>
      <c r="L4" s="304"/>
      <c r="M4" s="304"/>
      <c r="N4" s="305" t="s">
        <v>148</v>
      </c>
      <c r="O4" s="304"/>
      <c r="P4" s="304"/>
    </row>
    <row r="5" spans="1:16" ht="15" customHeight="1">
      <c r="A5" s="83"/>
      <c r="B5" s="83"/>
      <c r="C5" s="83"/>
      <c r="D5" s="83"/>
      <c r="E5" s="83"/>
      <c r="F5" s="83"/>
      <c r="G5" s="83"/>
      <c r="H5" s="83"/>
      <c r="I5" s="83"/>
      <c r="J5" s="83"/>
      <c r="K5" s="83"/>
      <c r="L5" s="83"/>
      <c r="M5" s="83"/>
      <c r="N5" s="83"/>
      <c r="O5" s="83"/>
      <c r="P5" s="83"/>
    </row>
    <row r="6" spans="1:16" ht="27" customHeight="1">
      <c r="A6" s="83"/>
      <c r="B6" s="306" t="s">
        <v>429</v>
      </c>
      <c r="C6" s="302"/>
      <c r="D6" s="302"/>
      <c r="E6" s="302"/>
      <c r="F6" s="302"/>
      <c r="G6" s="302"/>
      <c r="H6" s="302"/>
      <c r="I6" s="302"/>
      <c r="J6" s="302"/>
      <c r="K6" s="302"/>
      <c r="L6" s="302"/>
      <c r="M6" s="302"/>
      <c r="N6" s="302"/>
      <c r="O6" s="302"/>
      <c r="P6" s="302"/>
    </row>
    <row r="7" spans="1:16" ht="24.75" customHeight="1">
      <c r="A7" s="83"/>
      <c r="B7" s="84" t="s">
        <v>49</v>
      </c>
      <c r="C7" s="85" t="s">
        <v>50</v>
      </c>
      <c r="D7" s="85" t="s">
        <v>149</v>
      </c>
      <c r="E7" s="85" t="s">
        <v>150</v>
      </c>
      <c r="F7" s="86" t="s">
        <v>430</v>
      </c>
      <c r="G7" s="86" t="s">
        <v>431</v>
      </c>
      <c r="H7" s="86" t="s">
        <v>432</v>
      </c>
      <c r="I7" s="86" t="s">
        <v>433</v>
      </c>
      <c r="J7" s="86" t="s">
        <v>434</v>
      </c>
      <c r="K7" s="86" t="s">
        <v>435</v>
      </c>
      <c r="L7" s="85" t="s">
        <v>151</v>
      </c>
      <c r="M7" s="85" t="s">
        <v>152</v>
      </c>
      <c r="N7" s="85" t="s">
        <v>55</v>
      </c>
      <c r="O7" s="85" t="s">
        <v>153</v>
      </c>
      <c r="P7" s="85" t="s">
        <v>59</v>
      </c>
    </row>
    <row r="8" spans="1:16" ht="78">
      <c r="A8" s="83"/>
      <c r="B8" s="87">
        <v>1</v>
      </c>
      <c r="C8" s="88" t="s">
        <v>154</v>
      </c>
      <c r="D8" s="89" t="s">
        <v>155</v>
      </c>
      <c r="E8" s="89" t="s">
        <v>156</v>
      </c>
      <c r="F8" s="90"/>
      <c r="G8" s="89"/>
      <c r="H8" s="89"/>
      <c r="I8" s="89"/>
      <c r="J8" s="89"/>
      <c r="K8" s="89"/>
      <c r="L8" s="90"/>
      <c r="M8" s="91"/>
      <c r="N8" s="90"/>
      <c r="O8" s="90"/>
      <c r="P8" s="90"/>
    </row>
    <row r="9" spans="1:16" ht="52">
      <c r="A9" s="83"/>
      <c r="B9" s="87">
        <v>2</v>
      </c>
      <c r="C9" s="92" t="s">
        <v>157</v>
      </c>
      <c r="D9" s="89" t="s">
        <v>158</v>
      </c>
      <c r="E9" s="89" t="s">
        <v>159</v>
      </c>
      <c r="F9" s="89" t="s">
        <v>160</v>
      </c>
      <c r="G9" s="89"/>
      <c r="H9" s="93"/>
      <c r="I9" s="89"/>
      <c r="J9" s="89"/>
      <c r="K9" s="89"/>
      <c r="L9" s="89"/>
      <c r="M9" s="91"/>
      <c r="N9" s="90"/>
      <c r="O9" s="90"/>
      <c r="P9" s="90"/>
    </row>
    <row r="10" spans="1:16" ht="78">
      <c r="A10" s="83"/>
      <c r="B10" s="87">
        <v>3</v>
      </c>
      <c r="C10" s="92" t="s">
        <v>161</v>
      </c>
      <c r="D10" s="89" t="s">
        <v>162</v>
      </c>
      <c r="E10" s="89" t="s">
        <v>163</v>
      </c>
      <c r="F10" s="93" t="s">
        <v>164</v>
      </c>
      <c r="G10" s="94"/>
      <c r="H10" s="93"/>
      <c r="I10" s="94"/>
      <c r="J10" s="93"/>
      <c r="K10" s="94"/>
      <c r="L10" s="93"/>
      <c r="M10" s="91"/>
      <c r="N10" s="90"/>
      <c r="O10" s="90"/>
      <c r="P10" s="95"/>
    </row>
    <row r="11" spans="1:16" ht="64.5" customHeight="1">
      <c r="A11" s="83"/>
      <c r="B11" s="96">
        <v>4</v>
      </c>
      <c r="C11" s="97" t="s">
        <v>157</v>
      </c>
      <c r="D11" s="98" t="s">
        <v>165</v>
      </c>
      <c r="E11" s="98" t="s">
        <v>166</v>
      </c>
      <c r="F11" s="98"/>
      <c r="G11" s="98"/>
      <c r="H11" s="98" t="s">
        <v>167</v>
      </c>
      <c r="I11" s="98"/>
      <c r="J11" s="98"/>
      <c r="K11" s="98"/>
      <c r="L11" s="98"/>
      <c r="M11" s="99"/>
      <c r="N11" s="100"/>
      <c r="O11" s="100"/>
      <c r="P11" s="100"/>
    </row>
    <row r="12" spans="1:16" ht="104.25" customHeight="1">
      <c r="A12" s="83"/>
      <c r="B12" s="101">
        <v>5</v>
      </c>
      <c r="C12" s="102" t="s">
        <v>157</v>
      </c>
      <c r="D12" s="103" t="s">
        <v>168</v>
      </c>
      <c r="E12" s="103" t="s">
        <v>169</v>
      </c>
      <c r="F12" s="103"/>
      <c r="G12" s="103"/>
      <c r="H12" s="103"/>
      <c r="I12" s="103"/>
      <c r="J12" s="103" t="s">
        <v>170</v>
      </c>
      <c r="K12" s="103"/>
      <c r="L12" s="103"/>
      <c r="M12" s="104"/>
      <c r="N12" s="105"/>
      <c r="O12" s="105"/>
      <c r="P12" s="105"/>
    </row>
    <row r="13" spans="1:16" ht="24" customHeight="1">
      <c r="A13" s="83"/>
      <c r="B13" s="106">
        <v>6</v>
      </c>
      <c r="C13" s="92" t="s">
        <v>171</v>
      </c>
      <c r="D13" s="93" t="s">
        <v>172</v>
      </c>
      <c r="E13" s="93" t="s">
        <v>173</v>
      </c>
      <c r="F13" s="90"/>
      <c r="G13" s="107"/>
      <c r="H13" s="90"/>
      <c r="I13" s="107"/>
      <c r="J13" s="90"/>
      <c r="K13" s="107"/>
      <c r="L13" s="100"/>
      <c r="M13" s="99"/>
      <c r="N13" s="100"/>
      <c r="O13" s="100"/>
      <c r="P13" s="98"/>
    </row>
    <row r="14" spans="1:16" ht="36" customHeight="1">
      <c r="A14" s="83"/>
      <c r="B14" s="108"/>
      <c r="C14" s="109"/>
      <c r="D14" s="109"/>
      <c r="E14" s="109"/>
      <c r="F14" s="109"/>
      <c r="G14" s="109"/>
      <c r="H14" s="110"/>
      <c r="I14" s="109"/>
      <c r="J14" s="110"/>
      <c r="K14" s="109"/>
      <c r="L14" s="83"/>
      <c r="M14" s="83"/>
      <c r="N14" s="83"/>
      <c r="O14" s="83"/>
      <c r="P14" s="83"/>
    </row>
    <row r="15" spans="1:16" ht="36" customHeight="1">
      <c r="A15" s="83"/>
      <c r="B15" s="307" t="s">
        <v>436</v>
      </c>
      <c r="C15" s="308"/>
      <c r="D15" s="309"/>
      <c r="E15" s="308"/>
      <c r="F15" s="308"/>
      <c r="G15" s="308"/>
      <c r="H15" s="309"/>
      <c r="I15" s="308"/>
      <c r="J15" s="308"/>
      <c r="K15" s="308"/>
      <c r="L15" s="310"/>
      <c r="M15" s="310"/>
      <c r="N15" s="310"/>
      <c r="O15" s="310"/>
      <c r="P15" s="310"/>
    </row>
    <row r="16" spans="1:16" ht="36" customHeight="1">
      <c r="A16" s="83"/>
      <c r="B16" s="111" t="s">
        <v>111</v>
      </c>
      <c r="C16" s="112" t="s">
        <v>112</v>
      </c>
      <c r="D16" s="112" t="s">
        <v>113</v>
      </c>
      <c r="E16" s="112" t="s">
        <v>174</v>
      </c>
      <c r="F16" s="112" t="s">
        <v>175</v>
      </c>
      <c r="G16" s="112" t="s">
        <v>176</v>
      </c>
      <c r="H16" s="112" t="s">
        <v>117</v>
      </c>
      <c r="I16" s="112" t="s">
        <v>118</v>
      </c>
      <c r="J16" s="112" t="s">
        <v>177</v>
      </c>
      <c r="K16" s="112" t="s">
        <v>121</v>
      </c>
      <c r="L16" s="83"/>
      <c r="M16" s="83"/>
      <c r="N16" s="83"/>
      <c r="O16" s="83"/>
      <c r="P16" s="83"/>
    </row>
    <row r="17" spans="1:16" ht="36" customHeight="1">
      <c r="A17" s="83"/>
      <c r="B17" s="113"/>
      <c r="C17" s="114"/>
      <c r="D17" s="115"/>
      <c r="E17" s="116"/>
      <c r="F17" s="116"/>
      <c r="G17" s="117"/>
      <c r="H17" s="118"/>
      <c r="I17" s="114"/>
      <c r="J17" s="119"/>
      <c r="K17" s="116"/>
      <c r="L17" s="83"/>
      <c r="M17" s="83"/>
      <c r="N17" s="83"/>
      <c r="O17" s="83"/>
      <c r="P17" s="83"/>
    </row>
    <row r="18" spans="1:16" ht="14.5">
      <c r="A18" s="120"/>
      <c r="B18" s="121"/>
      <c r="C18" s="122"/>
      <c r="D18" s="123"/>
      <c r="E18" s="124"/>
      <c r="F18" s="124"/>
      <c r="G18" s="125"/>
      <c r="H18" s="126"/>
      <c r="I18" s="122"/>
      <c r="J18" s="124"/>
      <c r="K18" s="124"/>
      <c r="L18" s="120"/>
      <c r="M18" s="120"/>
      <c r="N18" s="120"/>
      <c r="O18" s="120"/>
      <c r="P18" s="120"/>
    </row>
    <row r="19" spans="1:16" ht="14.5">
      <c r="A19" s="120"/>
      <c r="B19" s="127"/>
      <c r="C19" s="128"/>
      <c r="D19" s="129"/>
      <c r="E19" s="130"/>
      <c r="F19" s="130"/>
      <c r="G19" s="131"/>
      <c r="H19" s="128"/>
      <c r="I19" s="128"/>
      <c r="J19" s="130"/>
      <c r="K19" s="130"/>
      <c r="L19" s="120"/>
      <c r="M19" s="120"/>
      <c r="N19" s="120"/>
      <c r="O19" s="120"/>
      <c r="P19" s="120"/>
    </row>
    <row r="20" spans="1:16" ht="14.5">
      <c r="A20" s="120"/>
      <c r="B20" s="121"/>
      <c r="C20" s="122"/>
      <c r="D20" s="132"/>
      <c r="E20" s="124"/>
      <c r="F20" s="124"/>
      <c r="G20" s="133"/>
      <c r="H20" s="122"/>
      <c r="I20" s="122"/>
      <c r="J20" s="134"/>
      <c r="K20" s="124"/>
      <c r="L20" s="120"/>
      <c r="M20" s="120"/>
      <c r="N20" s="120"/>
      <c r="O20" s="120"/>
      <c r="P20" s="120"/>
    </row>
  </sheetData>
  <mergeCells count="7">
    <mergeCell ref="B6:P6"/>
    <mergeCell ref="B15:P15"/>
    <mergeCell ref="B2:P2"/>
    <mergeCell ref="B4:E4"/>
    <mergeCell ref="F4:I4"/>
    <mergeCell ref="J4:M4"/>
    <mergeCell ref="N4:P4"/>
  </mergeCells>
  <phoneticPr fontId="140"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20"/>
  <sheetViews>
    <sheetView zoomScale="70" zoomScaleNormal="70" workbookViewId="0">
      <selection activeCell="D9" sqref="D9"/>
    </sheetView>
  </sheetViews>
  <sheetFormatPr defaultColWidth="17.1796875" defaultRowHeight="14.5"/>
  <cols>
    <col min="1" max="1" width="3.36328125" style="296" customWidth="1"/>
    <col min="2" max="2" width="7" style="296" customWidth="1"/>
    <col min="3" max="3" width="7.6328125" style="296" customWidth="1"/>
    <col min="4" max="4" width="28" style="296" customWidth="1"/>
    <col min="5" max="5" width="30.36328125" style="296" customWidth="1"/>
    <col min="6" max="6" width="25.453125" style="296" customWidth="1"/>
    <col min="7" max="7" width="13.1796875" style="296" customWidth="1"/>
    <col min="8" max="8" width="60.1796875" style="296" customWidth="1"/>
    <col min="9" max="9" width="10.6328125" style="296" customWidth="1"/>
    <col min="10" max="10" width="34.81640625" style="296" customWidth="1"/>
    <col min="11" max="16" width="10.6328125" style="296" customWidth="1"/>
    <col min="17" max="26" width="17.1796875" style="296"/>
  </cols>
  <sheetData>
    <row r="1" spans="1:26" ht="6" customHeight="1">
      <c r="A1" s="30"/>
      <c r="B1" s="30"/>
      <c r="C1" s="30"/>
      <c r="D1" s="30"/>
      <c r="E1" s="30"/>
      <c r="F1" s="30"/>
      <c r="G1" s="30"/>
      <c r="H1" s="30"/>
      <c r="I1" s="30"/>
      <c r="J1" s="30"/>
      <c r="K1" s="30"/>
      <c r="L1" s="30"/>
      <c r="M1" s="30"/>
      <c r="N1" s="30"/>
      <c r="O1" s="30"/>
      <c r="P1" s="30"/>
    </row>
    <row r="2" spans="1:26" ht="39" customHeight="1">
      <c r="A2" s="30"/>
      <c r="B2" s="337" t="s">
        <v>437</v>
      </c>
      <c r="C2" s="336"/>
      <c r="D2" s="336"/>
      <c r="E2" s="336"/>
      <c r="F2" s="336"/>
      <c r="G2" s="336"/>
      <c r="H2" s="336"/>
      <c r="I2" s="336"/>
      <c r="J2" s="336"/>
      <c r="K2" s="336"/>
      <c r="L2" s="336"/>
      <c r="M2" s="336"/>
      <c r="N2" s="336"/>
      <c r="O2" s="336"/>
      <c r="P2" s="336"/>
    </row>
    <row r="3" spans="1:26" ht="7.5" customHeight="1">
      <c r="A3" s="30"/>
      <c r="B3" s="30"/>
      <c r="C3" s="30"/>
      <c r="D3" s="30"/>
      <c r="E3" s="30"/>
      <c r="F3" s="30"/>
      <c r="G3" s="30"/>
      <c r="H3" s="30"/>
      <c r="I3" s="30"/>
      <c r="J3" s="30"/>
      <c r="K3" s="30"/>
      <c r="L3" s="30"/>
      <c r="M3" s="30"/>
      <c r="N3" s="30"/>
      <c r="O3" s="30"/>
      <c r="P3" s="30"/>
    </row>
    <row r="4" spans="1:26" ht="21" customHeight="1">
      <c r="A4" s="30"/>
      <c r="B4" s="343" t="s">
        <v>463</v>
      </c>
      <c r="C4" s="338"/>
      <c r="D4" s="338"/>
      <c r="E4" s="338"/>
      <c r="F4" s="339" t="s">
        <v>438</v>
      </c>
      <c r="G4" s="340"/>
      <c r="H4" s="340"/>
      <c r="I4" s="340"/>
      <c r="J4" s="339" t="s">
        <v>439</v>
      </c>
      <c r="K4" s="340"/>
      <c r="L4" s="340"/>
      <c r="M4" s="340"/>
      <c r="N4" s="339" t="s">
        <v>148</v>
      </c>
      <c r="O4" s="340"/>
      <c r="P4" s="340"/>
    </row>
    <row r="5" spans="1:26" ht="15" customHeight="1">
      <c r="A5" s="30"/>
      <c r="B5" s="30"/>
      <c r="C5" s="30"/>
      <c r="D5" s="30"/>
      <c r="E5" s="30"/>
      <c r="F5" s="30"/>
      <c r="G5" s="30"/>
      <c r="H5" s="30"/>
      <c r="I5" s="30"/>
      <c r="J5" s="30"/>
      <c r="K5" s="30"/>
      <c r="L5" s="30"/>
      <c r="M5" s="30"/>
      <c r="N5" s="30"/>
      <c r="O5" s="30"/>
      <c r="P5" s="30"/>
    </row>
    <row r="6" spans="1:26" ht="27" customHeight="1">
      <c r="A6" s="30"/>
      <c r="B6" s="335" t="s">
        <v>440</v>
      </c>
      <c r="C6" s="336"/>
      <c r="D6" s="336"/>
      <c r="E6" s="336"/>
      <c r="F6" s="336"/>
      <c r="G6" s="336"/>
      <c r="H6" s="336"/>
      <c r="I6" s="336"/>
      <c r="J6" s="336"/>
      <c r="K6" s="336"/>
      <c r="L6" s="336"/>
      <c r="M6" s="336"/>
      <c r="N6" s="336"/>
      <c r="O6" s="336"/>
      <c r="P6" s="336"/>
    </row>
    <row r="7" spans="1:26">
      <c r="A7" s="30"/>
      <c r="B7" s="135" t="s">
        <v>49</v>
      </c>
      <c r="C7" s="136" t="s">
        <v>50</v>
      </c>
      <c r="D7" s="136" t="s">
        <v>149</v>
      </c>
      <c r="E7" s="136" t="s">
        <v>150</v>
      </c>
      <c r="F7" s="136" t="s">
        <v>441</v>
      </c>
      <c r="G7" s="136" t="s">
        <v>368</v>
      </c>
      <c r="H7" s="136" t="s">
        <v>442</v>
      </c>
      <c r="I7" s="136" t="s">
        <v>370</v>
      </c>
      <c r="J7" s="136" t="s">
        <v>443</v>
      </c>
      <c r="K7" s="136" t="s">
        <v>372</v>
      </c>
      <c r="L7" s="136" t="s">
        <v>151</v>
      </c>
      <c r="M7" s="136" t="s">
        <v>152</v>
      </c>
      <c r="N7" s="136" t="s">
        <v>55</v>
      </c>
      <c r="O7" s="136" t="s">
        <v>153</v>
      </c>
      <c r="P7" s="136" t="s">
        <v>59</v>
      </c>
    </row>
    <row r="8" spans="1:26" ht="65">
      <c r="A8" s="30"/>
      <c r="B8" s="137">
        <v>1</v>
      </c>
      <c r="C8" s="292" t="s">
        <v>319</v>
      </c>
      <c r="D8" s="138" t="s">
        <v>320</v>
      </c>
      <c r="E8" s="138" t="s">
        <v>321</v>
      </c>
      <c r="F8" s="138" t="s">
        <v>322</v>
      </c>
      <c r="G8" s="138"/>
      <c r="H8" s="138" t="s">
        <v>462</v>
      </c>
      <c r="I8" s="138"/>
      <c r="J8" s="138" t="s">
        <v>323</v>
      </c>
      <c r="K8" s="138"/>
      <c r="L8" s="138"/>
      <c r="M8" s="138"/>
      <c r="N8" s="138"/>
      <c r="O8" s="138"/>
      <c r="P8" s="138"/>
      <c r="Q8" s="139"/>
      <c r="R8" s="139"/>
      <c r="S8" s="139"/>
      <c r="T8" s="139"/>
      <c r="U8" s="139"/>
      <c r="V8" s="139"/>
      <c r="W8" s="139"/>
      <c r="X8" s="139"/>
      <c r="Y8" s="139"/>
      <c r="Z8" s="139"/>
    </row>
    <row r="9" spans="1:26" ht="51" customHeight="1">
      <c r="A9" s="30"/>
      <c r="B9" s="137">
        <v>2</v>
      </c>
      <c r="C9" s="293" t="s">
        <v>319</v>
      </c>
      <c r="D9" s="140" t="s">
        <v>324</v>
      </c>
      <c r="E9" s="140" t="s">
        <v>325</v>
      </c>
      <c r="F9" s="140"/>
      <c r="G9" s="140"/>
      <c r="H9" s="140" t="s">
        <v>326</v>
      </c>
      <c r="I9" s="140"/>
      <c r="J9" s="140" t="s">
        <v>327</v>
      </c>
      <c r="K9" s="140"/>
      <c r="L9" s="140"/>
      <c r="M9" s="140"/>
      <c r="N9" s="140"/>
      <c r="O9" s="140"/>
      <c r="P9" s="140"/>
      <c r="Q9" s="139"/>
      <c r="R9" s="139"/>
      <c r="S9" s="139"/>
      <c r="T9" s="139"/>
      <c r="U9" s="139"/>
      <c r="V9" s="139"/>
      <c r="W9" s="139"/>
      <c r="X9" s="139"/>
      <c r="Y9" s="139"/>
      <c r="Z9" s="139"/>
    </row>
    <row r="10" spans="1:26" ht="46.5" customHeight="1">
      <c r="A10" s="30"/>
      <c r="B10" s="137">
        <v>3</v>
      </c>
      <c r="C10" s="167" t="s">
        <v>178</v>
      </c>
      <c r="D10" s="138" t="s">
        <v>328</v>
      </c>
      <c r="E10" s="138" t="s">
        <v>329</v>
      </c>
      <c r="F10" s="295" t="s">
        <v>330</v>
      </c>
      <c r="G10" s="295"/>
      <c r="H10" s="295" t="s">
        <v>341</v>
      </c>
      <c r="I10" s="295"/>
      <c r="J10" s="295" t="s">
        <v>340</v>
      </c>
      <c r="K10" s="140"/>
      <c r="L10" s="140"/>
      <c r="M10" s="140"/>
      <c r="N10" s="140"/>
      <c r="O10" s="140"/>
      <c r="P10" s="140"/>
      <c r="Q10" s="139"/>
      <c r="R10" s="139"/>
      <c r="S10" s="139"/>
      <c r="T10" s="139"/>
      <c r="U10" s="139"/>
      <c r="V10" s="139"/>
      <c r="W10" s="139"/>
      <c r="X10" s="139"/>
      <c r="Y10" s="139"/>
      <c r="Z10" s="139"/>
    </row>
    <row r="11" spans="1:26" ht="39">
      <c r="A11" s="30"/>
      <c r="B11" s="137">
        <v>4</v>
      </c>
      <c r="C11" s="293" t="s">
        <v>171</v>
      </c>
      <c r="D11" s="140" t="s">
        <v>331</v>
      </c>
      <c r="E11" s="140" t="s">
        <v>332</v>
      </c>
      <c r="F11" s="140" t="s">
        <v>333</v>
      </c>
      <c r="G11" s="140"/>
      <c r="H11" s="140" t="s">
        <v>333</v>
      </c>
      <c r="I11" s="140"/>
      <c r="J11" s="140" t="s">
        <v>333</v>
      </c>
      <c r="K11" s="140"/>
      <c r="L11" s="140"/>
      <c r="M11" s="140"/>
      <c r="N11" s="140"/>
      <c r="O11" s="140"/>
      <c r="P11" s="140"/>
      <c r="Q11" s="139"/>
      <c r="R11" s="139"/>
      <c r="S11" s="139"/>
      <c r="T11" s="139"/>
      <c r="U11" s="139"/>
      <c r="V11" s="139"/>
      <c r="W11" s="139"/>
      <c r="X11" s="139"/>
      <c r="Y11" s="139"/>
      <c r="Z11" s="139"/>
    </row>
    <row r="12" spans="1:26" ht="33">
      <c r="A12" s="30"/>
      <c r="B12" s="137">
        <v>5</v>
      </c>
      <c r="C12" s="294" t="s">
        <v>171</v>
      </c>
      <c r="D12" s="140" t="s">
        <v>334</v>
      </c>
      <c r="E12" s="140" t="s">
        <v>332</v>
      </c>
      <c r="F12" s="138" t="s">
        <v>333</v>
      </c>
      <c r="G12" s="138"/>
      <c r="H12" s="138" t="s">
        <v>333</v>
      </c>
      <c r="I12" s="140"/>
      <c r="J12" s="138" t="s">
        <v>333</v>
      </c>
      <c r="K12" s="138"/>
      <c r="L12" s="138"/>
      <c r="M12" s="138"/>
      <c r="N12" s="138"/>
      <c r="O12" s="138"/>
      <c r="P12" s="138"/>
      <c r="Q12" s="139"/>
      <c r="R12" s="139"/>
      <c r="S12" s="139"/>
      <c r="T12" s="139"/>
      <c r="U12" s="139"/>
      <c r="V12" s="139"/>
      <c r="W12" s="139"/>
      <c r="X12" s="139"/>
      <c r="Y12" s="139"/>
      <c r="Z12" s="139"/>
    </row>
    <row r="13" spans="1:26" ht="39">
      <c r="A13" s="30"/>
      <c r="B13" s="137">
        <v>6</v>
      </c>
      <c r="C13" s="142" t="s">
        <v>179</v>
      </c>
      <c r="D13" s="140" t="s">
        <v>335</v>
      </c>
      <c r="E13" s="140" t="s">
        <v>336</v>
      </c>
      <c r="F13" s="140" t="s">
        <v>337</v>
      </c>
      <c r="G13" s="140"/>
      <c r="H13" s="140" t="s">
        <v>338</v>
      </c>
      <c r="I13" s="140"/>
      <c r="J13" s="140" t="s">
        <v>338</v>
      </c>
      <c r="K13" s="140"/>
      <c r="L13" s="140"/>
      <c r="M13" s="140"/>
      <c r="N13" s="140"/>
      <c r="O13" s="140"/>
      <c r="P13" s="140"/>
      <c r="Q13" s="139"/>
      <c r="R13" s="139"/>
      <c r="S13" s="139"/>
      <c r="T13" s="139"/>
      <c r="U13" s="139"/>
      <c r="V13" s="139"/>
      <c r="W13" s="139"/>
      <c r="X13" s="139"/>
      <c r="Y13" s="139"/>
      <c r="Z13" s="139"/>
    </row>
    <row r="14" spans="1:26" ht="16.5">
      <c r="A14" s="30"/>
      <c r="B14" s="137">
        <v>6</v>
      </c>
      <c r="C14" s="142"/>
      <c r="D14" s="141"/>
      <c r="E14" s="140"/>
      <c r="F14" s="140"/>
      <c r="G14" s="140"/>
      <c r="H14" s="140"/>
      <c r="I14" s="140"/>
      <c r="J14" s="140"/>
      <c r="K14" s="140"/>
      <c r="L14" s="140"/>
      <c r="M14" s="140"/>
      <c r="N14" s="140"/>
      <c r="O14" s="140"/>
      <c r="P14" s="140"/>
      <c r="Q14" s="139"/>
      <c r="R14" s="139"/>
      <c r="S14" s="139"/>
      <c r="T14" s="139"/>
      <c r="U14" s="139"/>
      <c r="V14" s="139"/>
      <c r="W14" s="139"/>
      <c r="X14" s="139"/>
      <c r="Y14" s="139"/>
      <c r="Z14" s="139"/>
    </row>
    <row r="15" spans="1:26" ht="25" customHeight="1">
      <c r="A15" s="30"/>
      <c r="B15" s="137">
        <v>7</v>
      </c>
      <c r="C15" s="30"/>
      <c r="D15" s="30"/>
      <c r="E15" s="30"/>
      <c r="F15" s="30"/>
      <c r="G15" s="30"/>
      <c r="H15" s="30"/>
      <c r="I15" s="30"/>
      <c r="J15" s="30"/>
      <c r="K15" s="30"/>
      <c r="L15" s="30"/>
      <c r="M15" s="30"/>
      <c r="N15" s="30"/>
      <c r="O15" s="30"/>
      <c r="P15" s="30"/>
    </row>
    <row r="16" spans="1:26" ht="24" customHeight="1">
      <c r="A16" s="30"/>
      <c r="B16" s="143" t="s">
        <v>111</v>
      </c>
      <c r="C16" s="144" t="s">
        <v>112</v>
      </c>
      <c r="D16" s="144" t="s">
        <v>113</v>
      </c>
      <c r="E16" s="144" t="s">
        <v>174</v>
      </c>
      <c r="F16" s="144" t="s">
        <v>175</v>
      </c>
      <c r="G16" s="144" t="s">
        <v>176</v>
      </c>
      <c r="H16" s="144" t="s">
        <v>117</v>
      </c>
      <c r="I16" s="144" t="s">
        <v>118</v>
      </c>
      <c r="J16" s="144" t="s">
        <v>177</v>
      </c>
      <c r="K16" s="144" t="s">
        <v>121</v>
      </c>
      <c r="L16" s="30"/>
      <c r="M16" s="30"/>
      <c r="N16" s="30"/>
      <c r="O16" s="30"/>
      <c r="P16" s="30"/>
    </row>
    <row r="17" spans="1:16" ht="50.25" customHeight="1">
      <c r="A17" s="30"/>
      <c r="B17" s="145" t="s">
        <v>122</v>
      </c>
      <c r="C17" s="146"/>
      <c r="D17" s="147"/>
      <c r="E17" s="148"/>
      <c r="F17" s="148"/>
      <c r="G17" s="149"/>
      <c r="H17" s="146"/>
      <c r="I17" s="146"/>
      <c r="J17" s="146"/>
      <c r="K17" s="150" t="s">
        <v>339</v>
      </c>
      <c r="L17" s="30"/>
      <c r="M17" s="30"/>
      <c r="N17" s="30"/>
      <c r="O17" s="30"/>
      <c r="P17" s="30"/>
    </row>
    <row r="18" spans="1:16">
      <c r="A18" s="30"/>
      <c r="B18" s="151" t="s">
        <v>131</v>
      </c>
      <c r="C18" s="152"/>
      <c r="D18" s="153"/>
      <c r="E18" s="154"/>
      <c r="F18" s="154"/>
      <c r="G18" s="155"/>
      <c r="H18" s="156"/>
      <c r="I18" s="156"/>
      <c r="J18" s="154"/>
      <c r="K18" s="154"/>
      <c r="L18" s="30"/>
      <c r="M18" s="30"/>
      <c r="N18" s="30"/>
      <c r="O18" s="30"/>
      <c r="P18" s="30"/>
    </row>
    <row r="19" spans="1:16" ht="36" customHeight="1">
      <c r="A19" s="30"/>
      <c r="B19" s="145" t="s">
        <v>136</v>
      </c>
      <c r="C19" s="157"/>
      <c r="D19" s="158"/>
      <c r="E19" s="159"/>
      <c r="F19" s="159"/>
      <c r="G19" s="160"/>
      <c r="H19" s="157"/>
      <c r="I19" s="157"/>
      <c r="J19" s="159"/>
      <c r="K19" s="159"/>
      <c r="L19" s="30"/>
      <c r="M19" s="30"/>
      <c r="N19" s="30"/>
      <c r="O19" s="30"/>
      <c r="P19" s="30"/>
    </row>
    <row r="20" spans="1:16" ht="36" customHeight="1">
      <c r="A20" s="30"/>
      <c r="B20" s="151" t="s">
        <v>143</v>
      </c>
      <c r="C20" s="156"/>
      <c r="D20" s="153"/>
      <c r="E20" s="154"/>
      <c r="F20" s="154"/>
      <c r="G20" s="161"/>
      <c r="H20" s="156"/>
      <c r="I20" s="156"/>
      <c r="J20" s="154"/>
      <c r="K20" s="154"/>
      <c r="L20" s="30"/>
      <c r="M20" s="30"/>
      <c r="N20" s="30"/>
      <c r="O20" s="30"/>
      <c r="P20" s="30"/>
    </row>
  </sheetData>
  <mergeCells count="6">
    <mergeCell ref="B6:P6"/>
    <mergeCell ref="B2:P2"/>
    <mergeCell ref="B4:E4"/>
    <mergeCell ref="F4:I4"/>
    <mergeCell ref="J4:M4"/>
    <mergeCell ref="N4:P4"/>
  </mergeCells>
  <phoneticPr fontId="14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制造业产品组"/>
  <dimension ref="A1:Z19"/>
  <sheetViews>
    <sheetView tabSelected="1" workbookViewId="0">
      <selection activeCell="F4" sqref="F4:I4"/>
    </sheetView>
  </sheetViews>
  <sheetFormatPr defaultColWidth="14" defaultRowHeight="14.5"/>
  <cols>
    <col min="1" max="1" width="2.6328125" style="297" customWidth="1"/>
    <col min="2" max="2" width="5.6328125" style="297" customWidth="1"/>
    <col min="3" max="3" width="13.6328125" style="297" customWidth="1"/>
    <col min="4" max="4" width="29.36328125" style="297" customWidth="1"/>
    <col min="5" max="5" width="24.6328125" style="297" customWidth="1"/>
    <col min="6" max="7" width="10.6328125" style="297" customWidth="1"/>
    <col min="8" max="8" width="13.453125" style="297" customWidth="1"/>
    <col min="9" max="9" width="8.6328125" style="297" customWidth="1"/>
    <col min="10" max="10" width="11.1796875" style="297" customWidth="1"/>
    <col min="11" max="16" width="8.6328125" style="297" customWidth="1"/>
    <col min="17" max="26" width="14" style="297"/>
  </cols>
  <sheetData>
    <row r="1" spans="1:16" ht="6" customHeight="1">
      <c r="A1" s="30"/>
      <c r="B1" s="30"/>
      <c r="C1" s="30"/>
      <c r="D1" s="30"/>
      <c r="E1" s="30"/>
      <c r="F1" s="30"/>
      <c r="G1" s="30"/>
      <c r="H1" s="30"/>
      <c r="I1" s="30"/>
      <c r="J1" s="30"/>
      <c r="K1" s="30"/>
      <c r="L1" s="30"/>
      <c r="M1" s="30"/>
      <c r="N1" s="30"/>
      <c r="O1" s="30"/>
      <c r="P1" s="30"/>
    </row>
    <row r="2" spans="1:16" ht="39" customHeight="1">
      <c r="A2" s="30"/>
      <c r="B2" s="342" t="s">
        <v>444</v>
      </c>
      <c r="C2" s="341"/>
      <c r="D2" s="341"/>
      <c r="E2" s="341"/>
      <c r="F2" s="341"/>
      <c r="G2" s="341"/>
      <c r="H2" s="341"/>
      <c r="I2" s="341"/>
      <c r="J2" s="341"/>
      <c r="K2" s="341"/>
      <c r="L2" s="341"/>
      <c r="M2" s="341"/>
      <c r="N2" s="341"/>
      <c r="O2" s="341"/>
      <c r="P2" s="341"/>
    </row>
    <row r="3" spans="1:16" ht="7.5" customHeight="1">
      <c r="A3" s="30"/>
      <c r="B3" s="30"/>
      <c r="C3" s="30"/>
      <c r="D3" s="30"/>
      <c r="E3" s="30"/>
      <c r="F3" s="30"/>
      <c r="G3" s="30"/>
      <c r="H3" s="30"/>
      <c r="I3" s="30"/>
      <c r="J3" s="30"/>
      <c r="K3" s="30"/>
      <c r="L3" s="30"/>
      <c r="M3" s="30"/>
      <c r="N3" s="30"/>
      <c r="O3" s="30"/>
      <c r="P3" s="30"/>
    </row>
    <row r="4" spans="1:16" ht="21" customHeight="1">
      <c r="A4" s="30"/>
      <c r="B4" s="343" t="s">
        <v>464</v>
      </c>
      <c r="C4" s="344"/>
      <c r="D4" s="344"/>
      <c r="E4" s="344"/>
      <c r="F4" s="345" t="s">
        <v>465</v>
      </c>
      <c r="G4" s="346"/>
      <c r="H4" s="346"/>
      <c r="I4" s="346"/>
      <c r="J4" s="345" t="s">
        <v>445</v>
      </c>
      <c r="K4" s="346"/>
      <c r="L4" s="346"/>
      <c r="M4" s="346"/>
      <c r="N4" s="347" t="s">
        <v>148</v>
      </c>
      <c r="O4" s="346"/>
      <c r="P4" s="346"/>
    </row>
    <row r="5" spans="1:16" ht="15" customHeight="1">
      <c r="A5" s="30"/>
      <c r="B5" s="30"/>
      <c r="C5" s="30"/>
      <c r="D5" s="30"/>
      <c r="E5" s="30"/>
      <c r="F5" s="30"/>
      <c r="G5" s="30"/>
      <c r="H5" s="30"/>
      <c r="I5" s="30"/>
      <c r="J5" s="30"/>
      <c r="K5" s="30"/>
      <c r="L5" s="30"/>
      <c r="M5" s="30"/>
      <c r="N5" s="30"/>
      <c r="O5" s="30"/>
      <c r="P5" s="30"/>
    </row>
    <row r="6" spans="1:16" ht="27" customHeight="1">
      <c r="A6" s="30"/>
      <c r="B6" s="348" t="s">
        <v>440</v>
      </c>
      <c r="C6" s="341"/>
      <c r="D6" s="341"/>
      <c r="E6" s="341"/>
      <c r="F6" s="341"/>
      <c r="G6" s="341"/>
      <c r="H6" s="341"/>
      <c r="I6" s="341"/>
      <c r="J6" s="341"/>
      <c r="K6" s="341"/>
      <c r="L6" s="341"/>
      <c r="M6" s="341"/>
      <c r="N6" s="341"/>
      <c r="O6" s="341"/>
      <c r="P6" s="341"/>
    </row>
    <row r="7" spans="1:16">
      <c r="A7" s="30"/>
      <c r="B7" s="38" t="s">
        <v>49</v>
      </c>
      <c r="C7" s="39" t="s">
        <v>50</v>
      </c>
      <c r="D7" s="39" t="s">
        <v>149</v>
      </c>
      <c r="E7" s="39" t="s">
        <v>150</v>
      </c>
      <c r="F7" s="40" t="s">
        <v>441</v>
      </c>
      <c r="G7" s="40" t="s">
        <v>368</v>
      </c>
      <c r="H7" s="40" t="s">
        <v>442</v>
      </c>
      <c r="I7" s="40" t="s">
        <v>370</v>
      </c>
      <c r="J7" s="40" t="s">
        <v>443</v>
      </c>
      <c r="K7" s="40" t="s">
        <v>372</v>
      </c>
      <c r="L7" s="39" t="s">
        <v>151</v>
      </c>
      <c r="M7" s="39" t="s">
        <v>152</v>
      </c>
      <c r="N7" s="39" t="s">
        <v>55</v>
      </c>
      <c r="O7" s="39" t="s">
        <v>153</v>
      </c>
      <c r="P7" s="39" t="s">
        <v>59</v>
      </c>
    </row>
    <row r="8" spans="1:16" ht="104">
      <c r="A8" s="30"/>
      <c r="B8" s="162">
        <v>1</v>
      </c>
      <c r="C8" s="163" t="s">
        <v>157</v>
      </c>
      <c r="D8" s="138" t="s">
        <v>180</v>
      </c>
      <c r="E8" s="138" t="s">
        <v>181</v>
      </c>
      <c r="F8" s="138" t="s">
        <v>182</v>
      </c>
      <c r="G8" s="138" t="s">
        <v>183</v>
      </c>
      <c r="H8" s="138" t="s">
        <v>184</v>
      </c>
      <c r="I8" s="138" t="s">
        <v>185</v>
      </c>
      <c r="J8" s="138" t="s">
        <v>184</v>
      </c>
      <c r="K8" s="138" t="s">
        <v>185</v>
      </c>
      <c r="L8" s="164"/>
      <c r="M8" s="165"/>
      <c r="N8" s="164"/>
      <c r="O8" s="164"/>
      <c r="P8" s="164"/>
    </row>
    <row r="9" spans="1:16" ht="26">
      <c r="A9" s="30"/>
      <c r="B9" s="162">
        <v>2</v>
      </c>
      <c r="C9" s="166" t="s">
        <v>186</v>
      </c>
      <c r="D9" s="138" t="s">
        <v>187</v>
      </c>
      <c r="E9" s="138" t="s">
        <v>188</v>
      </c>
      <c r="F9" s="138" t="s">
        <v>189</v>
      </c>
      <c r="G9" s="138" t="s">
        <v>185</v>
      </c>
      <c r="H9" s="138" t="s">
        <v>185</v>
      </c>
      <c r="I9" s="167" t="s">
        <v>185</v>
      </c>
      <c r="J9" s="138" t="s">
        <v>185</v>
      </c>
      <c r="K9" s="167" t="s">
        <v>185</v>
      </c>
      <c r="L9" s="164"/>
      <c r="M9" s="165"/>
      <c r="N9" s="164"/>
      <c r="O9" s="164"/>
      <c r="P9" s="164"/>
    </row>
    <row r="10" spans="1:16" ht="39">
      <c r="A10" s="30"/>
      <c r="B10" s="162">
        <v>3</v>
      </c>
      <c r="C10" s="163" t="s">
        <v>190</v>
      </c>
      <c r="D10" s="138" t="s">
        <v>191</v>
      </c>
      <c r="E10" s="138" t="s">
        <v>192</v>
      </c>
      <c r="F10" s="138" t="s">
        <v>193</v>
      </c>
      <c r="G10" s="138" t="s">
        <v>194</v>
      </c>
      <c r="H10" s="138" t="s">
        <v>185</v>
      </c>
      <c r="I10" s="138" t="s">
        <v>185</v>
      </c>
      <c r="J10" s="138" t="s">
        <v>185</v>
      </c>
      <c r="K10" s="138" t="s">
        <v>185</v>
      </c>
      <c r="L10" s="164"/>
      <c r="M10" s="165"/>
      <c r="N10" s="164"/>
      <c r="O10" s="164"/>
      <c r="P10" s="164"/>
    </row>
    <row r="11" spans="1:16" ht="65">
      <c r="A11" s="30"/>
      <c r="B11" s="162">
        <v>4</v>
      </c>
      <c r="C11" s="166" t="s">
        <v>171</v>
      </c>
      <c r="D11" s="138" t="s">
        <v>195</v>
      </c>
      <c r="E11" s="138" t="s">
        <v>196</v>
      </c>
      <c r="F11" s="138" t="s">
        <v>197</v>
      </c>
      <c r="G11" s="167" t="s">
        <v>196</v>
      </c>
      <c r="H11" s="138" t="s">
        <v>197</v>
      </c>
      <c r="I11" s="167" t="s">
        <v>185</v>
      </c>
      <c r="J11" s="138" t="s">
        <v>197</v>
      </c>
      <c r="K11" s="167" t="s">
        <v>185</v>
      </c>
      <c r="L11" s="164"/>
      <c r="M11" s="165"/>
      <c r="N11" s="164"/>
      <c r="O11" s="164"/>
      <c r="P11" s="164"/>
    </row>
    <row r="12" spans="1:16" ht="65">
      <c r="A12" s="30"/>
      <c r="B12" s="162">
        <v>5</v>
      </c>
      <c r="C12" s="163" t="s">
        <v>154</v>
      </c>
      <c r="D12" s="138" t="s">
        <v>198</v>
      </c>
      <c r="E12" s="138" t="s">
        <v>199</v>
      </c>
      <c r="F12" s="138" t="s">
        <v>197</v>
      </c>
      <c r="G12" s="138" t="s">
        <v>200</v>
      </c>
      <c r="H12" s="138" t="s">
        <v>197</v>
      </c>
      <c r="I12" s="138" t="s">
        <v>185</v>
      </c>
      <c r="J12" s="138" t="s">
        <v>197</v>
      </c>
      <c r="K12" s="138" t="s">
        <v>185</v>
      </c>
      <c r="L12" s="164"/>
      <c r="M12" s="165"/>
      <c r="N12" s="164"/>
      <c r="O12" s="164"/>
      <c r="P12" s="164"/>
    </row>
    <row r="13" spans="1:16" ht="26">
      <c r="A13" s="168"/>
      <c r="B13" s="169">
        <v>6</v>
      </c>
      <c r="C13" s="170" t="s">
        <v>19</v>
      </c>
      <c r="D13" s="171" t="s">
        <v>446</v>
      </c>
      <c r="E13" s="171" t="s">
        <v>201</v>
      </c>
      <c r="F13" s="171" t="s">
        <v>185</v>
      </c>
      <c r="G13" s="171" t="s">
        <v>185</v>
      </c>
      <c r="H13" s="171" t="s">
        <v>185</v>
      </c>
      <c r="I13" s="171" t="s">
        <v>185</v>
      </c>
      <c r="J13" s="171" t="s">
        <v>202</v>
      </c>
      <c r="K13" s="171" t="s">
        <v>203</v>
      </c>
      <c r="L13" s="172"/>
      <c r="M13" s="173"/>
      <c r="N13" s="172"/>
      <c r="O13" s="172"/>
      <c r="P13" s="172"/>
    </row>
    <row r="14" spans="1:16" ht="26">
      <c r="A14" s="168"/>
      <c r="B14" s="169">
        <v>7</v>
      </c>
      <c r="C14" s="170" t="s">
        <v>161</v>
      </c>
      <c r="D14" s="171" t="s">
        <v>204</v>
      </c>
      <c r="E14" s="171" t="s">
        <v>205</v>
      </c>
      <c r="F14" s="171" t="s">
        <v>197</v>
      </c>
      <c r="G14" s="171" t="s">
        <v>185</v>
      </c>
      <c r="H14" s="171" t="s">
        <v>197</v>
      </c>
      <c r="I14" s="171" t="s">
        <v>185</v>
      </c>
      <c r="J14" s="171" t="s">
        <v>197</v>
      </c>
      <c r="K14" s="171" t="s">
        <v>185</v>
      </c>
      <c r="L14" s="172"/>
      <c r="M14" s="173"/>
      <c r="N14" s="172"/>
      <c r="O14" s="172"/>
      <c r="P14" s="172"/>
    </row>
    <row r="15" spans="1:16" ht="12" customHeight="1">
      <c r="A15" s="30"/>
      <c r="B15" s="30"/>
      <c r="C15" s="30"/>
      <c r="D15" s="30"/>
      <c r="E15" s="30"/>
      <c r="F15" s="30"/>
      <c r="G15" s="30"/>
      <c r="H15" s="30"/>
      <c r="I15" s="30"/>
      <c r="J15" s="30"/>
      <c r="K15" s="30"/>
      <c r="L15" s="30"/>
      <c r="M15" s="30"/>
      <c r="N15" s="30"/>
      <c r="O15" s="30"/>
      <c r="P15" s="30"/>
    </row>
    <row r="16" spans="1:16" ht="27" customHeight="1">
      <c r="A16" s="30"/>
      <c r="B16" s="328" t="s">
        <v>447</v>
      </c>
      <c r="C16" s="341"/>
      <c r="D16" s="341"/>
      <c r="E16" s="341"/>
      <c r="F16" s="341"/>
      <c r="G16" s="341"/>
      <c r="H16" s="341"/>
      <c r="I16" s="341"/>
      <c r="J16" s="341"/>
      <c r="K16" s="341"/>
      <c r="L16" s="341"/>
      <c r="M16" s="341"/>
      <c r="N16" s="341"/>
      <c r="O16" s="341"/>
      <c r="P16" s="341"/>
    </row>
    <row r="17" spans="1:16" ht="23">
      <c r="A17" s="30"/>
      <c r="B17" s="36" t="s">
        <v>111</v>
      </c>
      <c r="C17" s="73" t="s">
        <v>112</v>
      </c>
      <c r="D17" s="73" t="s">
        <v>113</v>
      </c>
      <c r="E17" s="73" t="s">
        <v>174</v>
      </c>
      <c r="F17" s="73" t="s">
        <v>175</v>
      </c>
      <c r="G17" s="73" t="s">
        <v>176</v>
      </c>
      <c r="H17" s="73" t="s">
        <v>117</v>
      </c>
      <c r="I17" s="73" t="s">
        <v>118</v>
      </c>
      <c r="J17" s="73" t="s">
        <v>177</v>
      </c>
      <c r="K17" s="73" t="s">
        <v>121</v>
      </c>
      <c r="L17" s="30"/>
      <c r="M17" s="30"/>
      <c r="N17" s="30"/>
      <c r="O17" s="30"/>
      <c r="P17" s="30"/>
    </row>
    <row r="18" spans="1:16" ht="52">
      <c r="A18" s="30"/>
      <c r="B18" s="74" t="s">
        <v>122</v>
      </c>
      <c r="C18" s="174" t="s">
        <v>206</v>
      </c>
      <c r="D18" s="175" t="s">
        <v>207</v>
      </c>
      <c r="E18" s="77" t="s">
        <v>126</v>
      </c>
      <c r="F18" s="176" t="s">
        <v>126</v>
      </c>
      <c r="G18" s="78" t="s">
        <v>126</v>
      </c>
      <c r="H18" s="174" t="s">
        <v>186</v>
      </c>
      <c r="I18" s="174" t="s">
        <v>208</v>
      </c>
      <c r="J18" s="174" t="s">
        <v>448</v>
      </c>
      <c r="K18" s="77" t="s">
        <v>130</v>
      </c>
      <c r="L18" s="30"/>
      <c r="M18" s="30"/>
      <c r="N18" s="30"/>
      <c r="O18" s="30"/>
      <c r="P18" s="30"/>
    </row>
    <row r="19" spans="1:16" ht="52">
      <c r="B19" s="177" t="s">
        <v>131</v>
      </c>
      <c r="C19" s="178" t="s">
        <v>209</v>
      </c>
      <c r="D19" s="179" t="s">
        <v>449</v>
      </c>
      <c r="E19" s="180" t="s">
        <v>126</v>
      </c>
      <c r="F19" s="180" t="s">
        <v>126</v>
      </c>
      <c r="G19" s="181" t="s">
        <v>126</v>
      </c>
      <c r="H19" s="182" t="s">
        <v>210</v>
      </c>
      <c r="I19" s="183" t="s">
        <v>208</v>
      </c>
      <c r="J19" s="184" t="s">
        <v>450</v>
      </c>
      <c r="K19" s="185" t="s">
        <v>130</v>
      </c>
    </row>
  </sheetData>
  <mergeCells count="7">
    <mergeCell ref="B16:P16"/>
    <mergeCell ref="B2:P2"/>
    <mergeCell ref="B4:E4"/>
    <mergeCell ref="F4:I4"/>
    <mergeCell ref="J4:M4"/>
    <mergeCell ref="N4:P4"/>
    <mergeCell ref="B6:P6"/>
  </mergeCells>
  <phoneticPr fontId="14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20"/>
  <sheetViews>
    <sheetView workbookViewId="0">
      <selection activeCell="B6" sqref="B6:P6"/>
    </sheetView>
  </sheetViews>
  <sheetFormatPr defaultColWidth="13.81640625" defaultRowHeight="14.5"/>
  <cols>
    <col min="1" max="1" width="2.6328125" style="298" customWidth="1"/>
    <col min="2" max="2" width="5.6328125" style="298" customWidth="1"/>
    <col min="3" max="3" width="13.6328125" style="298" customWidth="1"/>
    <col min="4" max="4" width="22.6328125" style="298" customWidth="1"/>
    <col min="5" max="5" width="24.6328125" style="298" customWidth="1"/>
    <col min="6" max="8" width="10.6328125" style="298" customWidth="1"/>
    <col min="9" max="16" width="8.6328125" style="298" customWidth="1"/>
    <col min="17" max="26" width="13.81640625" style="298"/>
  </cols>
  <sheetData>
    <row r="1" spans="1:16" ht="6" customHeight="1">
      <c r="A1" s="30"/>
      <c r="B1" s="30"/>
      <c r="C1" s="30"/>
      <c r="D1" s="30"/>
      <c r="E1" s="30"/>
      <c r="F1" s="30"/>
      <c r="G1" s="30"/>
      <c r="H1" s="30"/>
      <c r="I1" s="30"/>
      <c r="J1" s="30"/>
      <c r="K1" s="30"/>
      <c r="L1" s="30"/>
      <c r="M1" s="30"/>
      <c r="N1" s="30"/>
      <c r="O1" s="30"/>
      <c r="P1" s="30"/>
    </row>
    <row r="2" spans="1:16" ht="39" customHeight="1">
      <c r="A2" s="30"/>
      <c r="B2" s="350" t="s">
        <v>451</v>
      </c>
      <c r="C2" s="349"/>
      <c r="D2" s="349"/>
      <c r="E2" s="349"/>
      <c r="F2" s="349"/>
      <c r="G2" s="349"/>
      <c r="H2" s="349"/>
      <c r="I2" s="349"/>
      <c r="J2" s="349"/>
      <c r="K2" s="349"/>
      <c r="L2" s="349"/>
      <c r="M2" s="349"/>
      <c r="N2" s="349"/>
      <c r="O2" s="349"/>
      <c r="P2" s="349"/>
    </row>
    <row r="3" spans="1:16" ht="7.5" customHeight="1">
      <c r="A3" s="30"/>
      <c r="B3" s="30"/>
      <c r="C3" s="30"/>
      <c r="D3" s="30"/>
      <c r="E3" s="30"/>
      <c r="F3" s="30"/>
      <c r="G3" s="30"/>
      <c r="H3" s="30"/>
      <c r="I3" s="30"/>
      <c r="J3" s="30"/>
      <c r="K3" s="30"/>
      <c r="L3" s="30"/>
      <c r="M3" s="30"/>
      <c r="N3" s="30"/>
      <c r="O3" s="30"/>
      <c r="P3" s="30"/>
    </row>
    <row r="4" spans="1:16" ht="21" customHeight="1">
      <c r="A4" s="30"/>
      <c r="B4" s="343" t="s">
        <v>463</v>
      </c>
      <c r="C4" s="351"/>
      <c r="D4" s="351"/>
      <c r="E4" s="351"/>
      <c r="F4" s="352" t="s">
        <v>452</v>
      </c>
      <c r="G4" s="353"/>
      <c r="H4" s="353"/>
      <c r="I4" s="353"/>
      <c r="J4" s="352" t="s">
        <v>453</v>
      </c>
      <c r="K4" s="353"/>
      <c r="L4" s="353"/>
      <c r="M4" s="353"/>
      <c r="N4" s="352" t="s">
        <v>454</v>
      </c>
      <c r="O4" s="353"/>
      <c r="P4" s="353"/>
    </row>
    <row r="5" spans="1:16" ht="15" customHeight="1">
      <c r="A5" s="30"/>
      <c r="B5" s="30"/>
      <c r="C5" s="30"/>
      <c r="D5" s="30"/>
      <c r="E5" s="30"/>
      <c r="F5" s="30"/>
      <c r="G5" s="30"/>
      <c r="H5" s="30"/>
      <c r="I5" s="30"/>
      <c r="J5" s="30"/>
      <c r="K5" s="30"/>
      <c r="L5" s="30"/>
      <c r="M5" s="30"/>
      <c r="N5" s="30"/>
      <c r="O5" s="30"/>
      <c r="P5" s="30"/>
    </row>
    <row r="6" spans="1:16" ht="27" customHeight="1">
      <c r="A6" s="30"/>
      <c r="B6" s="348" t="s">
        <v>440</v>
      </c>
      <c r="C6" s="349"/>
      <c r="D6" s="349"/>
      <c r="E6" s="349"/>
      <c r="F6" s="349"/>
      <c r="G6" s="349"/>
      <c r="H6" s="349"/>
      <c r="I6" s="349"/>
      <c r="J6" s="349"/>
      <c r="K6" s="349"/>
      <c r="L6" s="349"/>
      <c r="M6" s="349"/>
      <c r="N6" s="349"/>
      <c r="O6" s="349"/>
      <c r="P6" s="349"/>
    </row>
    <row r="7" spans="1:16">
      <c r="A7" s="30"/>
      <c r="B7" s="38" t="s">
        <v>49</v>
      </c>
      <c r="C7" s="39" t="s">
        <v>50</v>
      </c>
      <c r="D7" s="39" t="s">
        <v>149</v>
      </c>
      <c r="E7" s="39" t="s">
        <v>150</v>
      </c>
      <c r="F7" s="40" t="s">
        <v>441</v>
      </c>
      <c r="G7" s="40" t="s">
        <v>368</v>
      </c>
      <c r="H7" s="40" t="s">
        <v>442</v>
      </c>
      <c r="I7" s="40" t="s">
        <v>370</v>
      </c>
      <c r="J7" s="40" t="s">
        <v>443</v>
      </c>
      <c r="K7" s="40" t="s">
        <v>372</v>
      </c>
      <c r="L7" s="39" t="s">
        <v>151</v>
      </c>
      <c r="M7" s="39" t="s">
        <v>152</v>
      </c>
      <c r="N7" s="39" t="s">
        <v>55</v>
      </c>
      <c r="O7" s="39" t="s">
        <v>153</v>
      </c>
      <c r="P7" s="39" t="s">
        <v>59</v>
      </c>
    </row>
    <row r="8" spans="1:16" ht="39" customHeight="1">
      <c r="A8" s="30"/>
      <c r="B8" s="186">
        <v>1</v>
      </c>
      <c r="C8" s="276" t="s">
        <v>157</v>
      </c>
      <c r="D8" s="277" t="s">
        <v>297</v>
      </c>
      <c r="E8" s="277" t="s">
        <v>298</v>
      </c>
      <c r="F8" s="188" t="s">
        <v>299</v>
      </c>
      <c r="G8" s="189" t="s">
        <v>300</v>
      </c>
      <c r="H8" s="189" t="s">
        <v>300</v>
      </c>
      <c r="I8" s="189" t="s">
        <v>300</v>
      </c>
      <c r="J8" s="189" t="s">
        <v>300</v>
      </c>
      <c r="K8" s="189" t="s">
        <v>300</v>
      </c>
      <c r="L8" s="188"/>
      <c r="M8" s="190"/>
      <c r="N8" s="191"/>
      <c r="O8" s="191"/>
      <c r="P8" s="191"/>
    </row>
    <row r="9" spans="1:16" ht="26" customHeight="1">
      <c r="A9" s="30"/>
      <c r="B9" s="278">
        <v>2</v>
      </c>
      <c r="C9" s="279" t="s">
        <v>301</v>
      </c>
      <c r="D9" s="193" t="s">
        <v>302</v>
      </c>
      <c r="E9" s="193" t="s">
        <v>303</v>
      </c>
      <c r="F9" s="280" t="s">
        <v>299</v>
      </c>
      <c r="G9" s="281" t="s">
        <v>300</v>
      </c>
      <c r="H9" s="281" t="s">
        <v>300</v>
      </c>
      <c r="I9" s="281" t="s">
        <v>300</v>
      </c>
      <c r="J9" s="281" t="s">
        <v>300</v>
      </c>
      <c r="K9" s="281" t="s">
        <v>300</v>
      </c>
      <c r="L9" s="195"/>
      <c r="M9" s="54"/>
      <c r="N9" s="50"/>
      <c r="O9" s="50"/>
      <c r="P9" s="50"/>
    </row>
    <row r="10" spans="1:16" ht="39" customHeight="1">
      <c r="A10" s="30"/>
      <c r="B10" s="278">
        <v>3</v>
      </c>
      <c r="C10" s="187" t="s">
        <v>301</v>
      </c>
      <c r="D10" s="282" t="s">
        <v>304</v>
      </c>
      <c r="E10" s="282" t="s">
        <v>305</v>
      </c>
      <c r="F10" s="280" t="s">
        <v>306</v>
      </c>
      <c r="G10" s="281" t="s">
        <v>300</v>
      </c>
      <c r="H10" s="281" t="s">
        <v>299</v>
      </c>
      <c r="I10" s="281" t="s">
        <v>300</v>
      </c>
      <c r="J10" s="281" t="s">
        <v>300</v>
      </c>
      <c r="K10" s="281" t="s">
        <v>300</v>
      </c>
      <c r="L10" s="195"/>
      <c r="M10" s="54"/>
      <c r="N10" s="50"/>
      <c r="O10" s="50"/>
      <c r="P10" s="50"/>
    </row>
    <row r="11" spans="1:16" ht="39" customHeight="1">
      <c r="A11" s="30"/>
      <c r="B11" s="278">
        <v>4</v>
      </c>
      <c r="C11" s="283" t="s">
        <v>157</v>
      </c>
      <c r="D11" s="193" t="s">
        <v>307</v>
      </c>
      <c r="E11" s="193" t="s">
        <v>308</v>
      </c>
      <c r="F11" s="281" t="s">
        <v>300</v>
      </c>
      <c r="G11" s="281" t="s">
        <v>300</v>
      </c>
      <c r="H11" s="280" t="s">
        <v>306</v>
      </c>
      <c r="I11" s="281" t="s">
        <v>300</v>
      </c>
      <c r="J11" s="281" t="s">
        <v>299</v>
      </c>
      <c r="K11" s="281" t="s">
        <v>300</v>
      </c>
      <c r="L11" s="195"/>
      <c r="M11" s="54"/>
      <c r="N11" s="50"/>
      <c r="O11" s="50"/>
      <c r="P11" s="50"/>
    </row>
    <row r="12" spans="1:16" ht="33" customHeight="1">
      <c r="A12" s="30"/>
      <c r="B12" s="278">
        <v>5</v>
      </c>
      <c r="C12" s="284" t="s">
        <v>171</v>
      </c>
      <c r="D12" s="196" t="s">
        <v>309</v>
      </c>
      <c r="E12" s="196" t="s">
        <v>310</v>
      </c>
      <c r="F12" s="197" t="s">
        <v>311</v>
      </c>
      <c r="G12" s="195" t="s">
        <v>300</v>
      </c>
      <c r="H12" s="197" t="s">
        <v>311</v>
      </c>
      <c r="I12" s="195" t="s">
        <v>300</v>
      </c>
      <c r="J12" s="197" t="s">
        <v>311</v>
      </c>
      <c r="K12" s="195" t="s">
        <v>300</v>
      </c>
      <c r="L12" s="195"/>
      <c r="M12" s="54"/>
      <c r="N12" s="50"/>
      <c r="O12" s="50"/>
      <c r="P12" s="50"/>
    </row>
    <row r="13" spans="1:16" ht="45.75" customHeight="1">
      <c r="A13" s="30"/>
      <c r="B13" s="278">
        <v>6</v>
      </c>
      <c r="C13" s="285" t="s">
        <v>19</v>
      </c>
      <c r="D13" s="193" t="s">
        <v>312</v>
      </c>
      <c r="E13" s="193" t="s">
        <v>312</v>
      </c>
      <c r="F13" s="195" t="s">
        <v>313</v>
      </c>
      <c r="G13" s="195" t="s">
        <v>300</v>
      </c>
      <c r="H13" s="195" t="s">
        <v>314</v>
      </c>
      <c r="I13" s="195" t="s">
        <v>300</v>
      </c>
      <c r="J13" s="195" t="s">
        <v>300</v>
      </c>
      <c r="K13" s="195" t="s">
        <v>300</v>
      </c>
      <c r="L13" s="198"/>
      <c r="M13" s="199"/>
      <c r="N13" s="200"/>
      <c r="O13" s="200"/>
      <c r="P13" s="200"/>
    </row>
    <row r="14" spans="1:16">
      <c r="A14" s="30"/>
      <c r="B14" s="192">
        <v>6</v>
      </c>
      <c r="C14" s="49" t="s">
        <v>19</v>
      </c>
      <c r="D14" s="194"/>
      <c r="E14" s="194"/>
      <c r="F14" s="195"/>
      <c r="G14" s="195"/>
      <c r="H14" s="195"/>
      <c r="I14" s="195"/>
      <c r="J14" s="195"/>
      <c r="K14" s="195"/>
      <c r="L14" s="53"/>
      <c r="M14" s="54"/>
      <c r="N14" s="50"/>
      <c r="O14" s="50"/>
      <c r="P14" s="50"/>
    </row>
    <row r="15" spans="1:16" ht="27" customHeight="1">
      <c r="A15" s="30"/>
      <c r="B15" s="328" t="s">
        <v>447</v>
      </c>
      <c r="C15" s="349"/>
      <c r="D15" s="349"/>
      <c r="E15" s="349"/>
      <c r="F15" s="349"/>
      <c r="G15" s="349"/>
      <c r="H15" s="349"/>
      <c r="I15" s="349"/>
      <c r="J15" s="349"/>
      <c r="K15" s="349"/>
      <c r="L15" s="349"/>
      <c r="M15" s="349"/>
      <c r="N15" s="349"/>
      <c r="O15" s="349"/>
      <c r="P15" s="349"/>
    </row>
    <row r="16" spans="1:16" ht="23">
      <c r="A16" s="30"/>
      <c r="B16" s="36" t="s">
        <v>111</v>
      </c>
      <c r="C16" s="73" t="s">
        <v>112</v>
      </c>
      <c r="D16" s="73" t="s">
        <v>113</v>
      </c>
      <c r="E16" s="73" t="s">
        <v>174</v>
      </c>
      <c r="F16" s="73" t="s">
        <v>175</v>
      </c>
      <c r="G16" s="73" t="s">
        <v>176</v>
      </c>
      <c r="H16" s="73" t="s">
        <v>117</v>
      </c>
      <c r="I16" s="73" t="s">
        <v>118</v>
      </c>
      <c r="J16" s="73" t="s">
        <v>177</v>
      </c>
      <c r="K16" s="73" t="s">
        <v>121</v>
      </c>
      <c r="L16" s="30"/>
      <c r="M16" s="30"/>
      <c r="N16" s="30"/>
      <c r="O16" s="30"/>
      <c r="P16" s="30"/>
    </row>
    <row r="17" spans="1:16" ht="81" customHeight="1">
      <c r="A17" s="30"/>
      <c r="B17" s="74" t="s">
        <v>122</v>
      </c>
      <c r="C17" s="286" t="s">
        <v>318</v>
      </c>
      <c r="D17" s="201" t="s">
        <v>449</v>
      </c>
      <c r="E17" s="287" t="s">
        <v>125</v>
      </c>
      <c r="F17" s="288" t="s">
        <v>125</v>
      </c>
      <c r="G17" s="287" t="s">
        <v>125</v>
      </c>
      <c r="H17" s="289" t="s">
        <v>315</v>
      </c>
      <c r="I17" s="290" t="s">
        <v>316</v>
      </c>
      <c r="J17" s="291" t="s">
        <v>317</v>
      </c>
      <c r="K17" s="77" t="s">
        <v>130</v>
      </c>
      <c r="L17" s="30"/>
      <c r="M17" s="30"/>
      <c r="N17" s="30"/>
      <c r="O17" s="30"/>
      <c r="P17" s="30"/>
    </row>
    <row r="18" spans="1:16">
      <c r="A18" s="30"/>
      <c r="B18" s="79" t="s">
        <v>131</v>
      </c>
      <c r="C18" s="50"/>
      <c r="D18" s="202"/>
      <c r="E18" s="53"/>
      <c r="F18" s="53"/>
      <c r="G18" s="203"/>
      <c r="H18" s="54"/>
      <c r="I18" s="50"/>
      <c r="J18" s="53"/>
      <c r="K18" s="53"/>
      <c r="L18" s="30"/>
      <c r="M18" s="30"/>
      <c r="N18" s="30"/>
      <c r="O18" s="30"/>
      <c r="P18" s="30"/>
    </row>
    <row r="19" spans="1:16">
      <c r="A19" s="30"/>
      <c r="B19" s="74" t="s">
        <v>136</v>
      </c>
      <c r="C19" s="75"/>
      <c r="D19" s="204"/>
      <c r="E19" s="77"/>
      <c r="F19" s="77"/>
      <c r="G19" s="82"/>
      <c r="H19" s="75"/>
      <c r="I19" s="75"/>
      <c r="J19" s="77"/>
      <c r="K19" s="77"/>
      <c r="L19" s="30"/>
      <c r="M19" s="30"/>
      <c r="N19" s="30"/>
      <c r="O19" s="30"/>
      <c r="P19" s="30"/>
    </row>
    <row r="20" spans="1:16">
      <c r="A20" s="30"/>
      <c r="B20" s="79" t="s">
        <v>143</v>
      </c>
      <c r="C20" s="50"/>
      <c r="D20" s="205"/>
      <c r="E20" s="53"/>
      <c r="F20" s="53"/>
      <c r="G20" s="206"/>
      <c r="H20" s="50"/>
      <c r="I20" s="50"/>
      <c r="J20" s="52"/>
      <c r="K20" s="53"/>
      <c r="L20" s="30"/>
      <c r="M20" s="30"/>
      <c r="N20" s="30"/>
      <c r="O20" s="30"/>
      <c r="P20" s="30"/>
    </row>
  </sheetData>
  <mergeCells count="7">
    <mergeCell ref="B15:P15"/>
    <mergeCell ref="B2:P2"/>
    <mergeCell ref="B4:E4"/>
    <mergeCell ref="F4:I4"/>
    <mergeCell ref="J4:M4"/>
    <mergeCell ref="N4:P4"/>
    <mergeCell ref="B6:P6"/>
  </mergeCells>
  <phoneticPr fontId="140"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21"/>
  <sheetViews>
    <sheetView workbookViewId="0">
      <selection activeCell="A3" sqref="A3:D3"/>
    </sheetView>
  </sheetViews>
  <sheetFormatPr defaultColWidth="10.90625" defaultRowHeight="14.5"/>
  <cols>
    <col min="3" max="3" width="28.7265625" customWidth="1"/>
    <col min="4" max="5" width="24.7265625" customWidth="1"/>
    <col min="6" max="6" width="9.7265625" customWidth="1"/>
    <col min="7" max="8" width="16.7265625" customWidth="1"/>
    <col min="9" max="9" width="13.7265625" customWidth="1"/>
    <col min="14" max="14" width="20.6328125" customWidth="1"/>
  </cols>
  <sheetData>
    <row r="1" spans="1:15">
      <c r="A1" s="355" t="s">
        <v>211</v>
      </c>
      <c r="B1" s="355"/>
      <c r="C1" s="355"/>
      <c r="D1" s="355"/>
      <c r="E1" s="355"/>
      <c r="F1" s="355"/>
      <c r="G1" s="355"/>
      <c r="H1" s="355"/>
      <c r="I1" s="355"/>
      <c r="J1" s="355"/>
      <c r="K1" s="355"/>
      <c r="L1" s="355"/>
      <c r="M1" s="355"/>
      <c r="N1" s="355"/>
      <c r="O1" s="355"/>
    </row>
    <row r="2" spans="1:15">
      <c r="A2" s="207"/>
      <c r="B2" s="207"/>
      <c r="C2" s="207"/>
      <c r="D2" s="207"/>
      <c r="E2" s="207"/>
      <c r="F2" s="207"/>
      <c r="G2" s="207"/>
      <c r="H2" s="207"/>
      <c r="I2" s="207"/>
      <c r="J2" s="207"/>
      <c r="K2" s="207"/>
      <c r="L2" s="207"/>
      <c r="M2" s="207"/>
      <c r="N2" s="207"/>
      <c r="O2" s="207"/>
    </row>
    <row r="3" spans="1:15">
      <c r="A3" s="343" t="s">
        <v>463</v>
      </c>
      <c r="B3" s="356"/>
      <c r="C3" s="356"/>
      <c r="D3" s="356"/>
      <c r="E3" s="357" t="s">
        <v>212</v>
      </c>
      <c r="F3" s="357"/>
      <c r="G3" s="357"/>
      <c r="H3" s="357"/>
      <c r="I3" s="357" t="s">
        <v>213</v>
      </c>
      <c r="J3" s="357"/>
      <c r="K3" s="357"/>
      <c r="L3" s="357"/>
      <c r="M3" s="208" t="s">
        <v>148</v>
      </c>
      <c r="N3" s="209"/>
      <c r="O3" s="209"/>
    </row>
    <row r="4" spans="1:15">
      <c r="A4" s="207"/>
      <c r="B4" s="207"/>
      <c r="C4" s="207"/>
      <c r="D4" s="207"/>
      <c r="E4" s="207"/>
      <c r="F4" s="207"/>
      <c r="G4" s="207"/>
      <c r="H4" s="207"/>
      <c r="I4" s="207"/>
      <c r="J4" s="207"/>
      <c r="K4" s="207"/>
      <c r="L4" s="207"/>
      <c r="M4" s="207"/>
      <c r="N4" s="207"/>
      <c r="O4" s="207"/>
    </row>
    <row r="5" spans="1:15" ht="16.5">
      <c r="A5" s="358" t="s">
        <v>214</v>
      </c>
      <c r="B5" s="358"/>
      <c r="C5" s="358"/>
      <c r="D5" s="358"/>
      <c r="E5" s="358"/>
      <c r="F5" s="358"/>
      <c r="G5" s="358"/>
      <c r="H5" s="358"/>
      <c r="I5" s="358"/>
      <c r="J5" s="358"/>
      <c r="K5" s="358"/>
      <c r="L5" s="358"/>
      <c r="M5" s="358"/>
      <c r="N5" s="358"/>
      <c r="O5" s="358"/>
    </row>
    <row r="6" spans="1:15">
      <c r="A6" s="210" t="s">
        <v>49</v>
      </c>
      <c r="B6" s="211" t="s">
        <v>50</v>
      </c>
      <c r="C6" s="211" t="s">
        <v>149</v>
      </c>
      <c r="D6" s="211" t="s">
        <v>150</v>
      </c>
      <c r="E6" s="212" t="s">
        <v>215</v>
      </c>
      <c r="F6" s="212" t="s">
        <v>216</v>
      </c>
      <c r="G6" s="212" t="s">
        <v>217</v>
      </c>
      <c r="H6" s="212" t="s">
        <v>218</v>
      </c>
      <c r="I6" s="212" t="s">
        <v>219</v>
      </c>
      <c r="J6" s="212" t="s">
        <v>220</v>
      </c>
      <c r="K6" s="211" t="s">
        <v>151</v>
      </c>
      <c r="L6" s="211" t="s">
        <v>152</v>
      </c>
      <c r="M6" s="211" t="s">
        <v>55</v>
      </c>
      <c r="N6" s="211" t="s">
        <v>153</v>
      </c>
      <c r="O6" s="211" t="s">
        <v>59</v>
      </c>
    </row>
    <row r="7" spans="1:15" ht="39">
      <c r="A7" s="264">
        <v>1</v>
      </c>
      <c r="B7" s="265" t="s">
        <v>157</v>
      </c>
      <c r="C7" s="267" t="s">
        <v>221</v>
      </c>
      <c r="D7" s="267" t="s">
        <v>222</v>
      </c>
      <c r="E7" s="267" t="s">
        <v>223</v>
      </c>
      <c r="F7" s="267"/>
      <c r="G7" s="267"/>
      <c r="H7" s="267"/>
      <c r="I7" s="267"/>
      <c r="J7" s="268"/>
      <c r="K7" s="268"/>
      <c r="L7" s="269"/>
      <c r="M7" s="268"/>
      <c r="N7" s="268"/>
      <c r="O7" s="213"/>
    </row>
    <row r="8" spans="1:15">
      <c r="A8" s="264">
        <v>2</v>
      </c>
      <c r="B8" s="265" t="s">
        <v>154</v>
      </c>
      <c r="C8" s="267" t="s">
        <v>224</v>
      </c>
      <c r="D8" s="267" t="s">
        <v>225</v>
      </c>
      <c r="E8" s="267"/>
      <c r="F8" s="267"/>
      <c r="G8" s="267"/>
      <c r="H8" s="267"/>
      <c r="I8" s="267"/>
      <c r="J8" s="268"/>
      <c r="K8" s="268"/>
      <c r="L8" s="268"/>
      <c r="M8" s="268"/>
      <c r="N8" s="267" t="s">
        <v>279</v>
      </c>
      <c r="O8" s="213"/>
    </row>
    <row r="9" spans="1:15">
      <c r="A9" s="264">
        <v>3</v>
      </c>
      <c r="B9" s="264" t="s">
        <v>19</v>
      </c>
      <c r="C9" s="270" t="s">
        <v>226</v>
      </c>
      <c r="D9" s="270" t="s">
        <v>227</v>
      </c>
      <c r="E9" s="270" t="s">
        <v>228</v>
      </c>
      <c r="F9" s="270"/>
      <c r="G9" s="270" t="s">
        <v>229</v>
      </c>
      <c r="H9" s="270"/>
      <c r="I9" s="270"/>
      <c r="J9" s="270"/>
      <c r="K9" s="270"/>
      <c r="L9" s="270"/>
      <c r="M9" s="270"/>
      <c r="N9" s="270"/>
      <c r="O9" s="214"/>
    </row>
    <row r="10" spans="1:15" ht="39">
      <c r="A10" s="266">
        <v>4</v>
      </c>
      <c r="B10" s="264" t="s">
        <v>19</v>
      </c>
      <c r="C10" s="271" t="s">
        <v>230</v>
      </c>
      <c r="D10" s="271" t="s">
        <v>231</v>
      </c>
      <c r="E10" s="271" t="s">
        <v>232</v>
      </c>
      <c r="F10" s="271"/>
      <c r="G10" s="271" t="s">
        <v>233</v>
      </c>
      <c r="H10" s="272"/>
      <c r="I10" s="271" t="s">
        <v>233</v>
      </c>
      <c r="J10" s="272"/>
      <c r="K10" s="272"/>
      <c r="L10" s="272"/>
      <c r="M10" s="272"/>
      <c r="N10" s="271" t="s">
        <v>281</v>
      </c>
      <c r="O10" s="215"/>
    </row>
    <row r="11" spans="1:15" ht="38.25" customHeight="1">
      <c r="A11" s="266">
        <v>5</v>
      </c>
      <c r="B11" s="264" t="s">
        <v>19</v>
      </c>
      <c r="C11" s="271" t="s">
        <v>289</v>
      </c>
      <c r="D11" s="271" t="s">
        <v>234</v>
      </c>
      <c r="E11" s="271"/>
      <c r="F11" s="271"/>
      <c r="G11" s="271"/>
      <c r="H11" s="272"/>
      <c r="I11" s="271"/>
      <c r="J11" s="272"/>
      <c r="K11" s="272"/>
      <c r="L11" s="272"/>
      <c r="M11" s="272"/>
      <c r="N11" s="271" t="s">
        <v>280</v>
      </c>
      <c r="O11" s="215"/>
    </row>
    <row r="12" spans="1:15" ht="57" customHeight="1">
      <c r="A12" s="266">
        <v>6</v>
      </c>
      <c r="B12" s="265" t="s">
        <v>157</v>
      </c>
      <c r="C12" s="271" t="s">
        <v>235</v>
      </c>
      <c r="D12" s="271" t="s">
        <v>236</v>
      </c>
      <c r="E12" s="271"/>
      <c r="F12" s="271"/>
      <c r="G12" s="271"/>
      <c r="H12" s="272"/>
      <c r="I12" s="271"/>
      <c r="J12" s="272"/>
      <c r="K12" s="272"/>
      <c r="L12" s="272"/>
      <c r="M12" s="272"/>
      <c r="N12" s="271" t="s">
        <v>282</v>
      </c>
      <c r="O12" s="215"/>
    </row>
    <row r="13" spans="1:15" ht="39">
      <c r="A13" s="266">
        <v>7</v>
      </c>
      <c r="B13" s="264" t="s">
        <v>19</v>
      </c>
      <c r="C13" s="271" t="s">
        <v>237</v>
      </c>
      <c r="D13" s="271" t="s">
        <v>238</v>
      </c>
      <c r="E13" s="271" t="s">
        <v>239</v>
      </c>
      <c r="F13" s="271"/>
      <c r="G13" s="271" t="s">
        <v>240</v>
      </c>
      <c r="H13" s="272"/>
      <c r="I13" s="271" t="s">
        <v>240</v>
      </c>
      <c r="J13" s="272"/>
      <c r="K13" s="272"/>
      <c r="L13" s="272"/>
      <c r="M13" s="272"/>
      <c r="N13" s="271" t="s">
        <v>283</v>
      </c>
      <c r="O13" s="215"/>
    </row>
    <row r="14" spans="1:15" ht="52">
      <c r="A14" s="266">
        <v>8</v>
      </c>
      <c r="B14" s="264" t="s">
        <v>19</v>
      </c>
      <c r="C14" s="271" t="s">
        <v>241</v>
      </c>
      <c r="D14" s="271" t="s">
        <v>242</v>
      </c>
      <c r="E14" s="271" t="s">
        <v>243</v>
      </c>
      <c r="F14" s="271"/>
      <c r="G14" s="271" t="s">
        <v>244</v>
      </c>
      <c r="H14" s="272"/>
      <c r="I14" s="271" t="s">
        <v>244</v>
      </c>
      <c r="J14" s="272"/>
      <c r="K14" s="272"/>
      <c r="L14" s="272"/>
      <c r="M14" s="272"/>
      <c r="N14" s="268"/>
      <c r="O14" s="215"/>
    </row>
    <row r="15" spans="1:15" ht="39">
      <c r="A15" s="264">
        <v>9</v>
      </c>
      <c r="B15" s="264" t="s">
        <v>19</v>
      </c>
      <c r="C15" s="273" t="s">
        <v>245</v>
      </c>
      <c r="D15" s="267" t="s">
        <v>246</v>
      </c>
      <c r="E15" s="267" t="s">
        <v>247</v>
      </c>
      <c r="F15" s="267"/>
      <c r="G15" s="267" t="s">
        <v>248</v>
      </c>
      <c r="H15" s="268"/>
      <c r="I15" s="267" t="s">
        <v>249</v>
      </c>
      <c r="J15" s="268"/>
      <c r="K15" s="268"/>
      <c r="L15" s="268"/>
      <c r="M15" s="268"/>
      <c r="N15" s="270"/>
      <c r="O15" s="213"/>
    </row>
    <row r="16" spans="1:15" ht="16.5">
      <c r="A16" s="354" t="s">
        <v>250</v>
      </c>
      <c r="B16" s="354"/>
      <c r="C16" s="354"/>
      <c r="D16" s="354"/>
      <c r="E16" s="354"/>
      <c r="F16" s="354"/>
      <c r="G16" s="354"/>
      <c r="H16" s="354"/>
      <c r="I16" s="354"/>
      <c r="J16" s="354"/>
      <c r="K16" s="354"/>
      <c r="L16" s="354"/>
      <c r="M16" s="354"/>
      <c r="N16" s="354"/>
      <c r="O16" s="354"/>
    </row>
    <row r="17" spans="1:15">
      <c r="A17" s="216" t="s">
        <v>111</v>
      </c>
      <c r="B17" s="217" t="s">
        <v>112</v>
      </c>
      <c r="C17" s="217" t="s">
        <v>113</v>
      </c>
      <c r="D17" s="217" t="s">
        <v>174</v>
      </c>
      <c r="E17" s="217" t="s">
        <v>175</v>
      </c>
      <c r="F17" s="217" t="s">
        <v>176</v>
      </c>
      <c r="G17" s="217" t="s">
        <v>117</v>
      </c>
      <c r="H17" s="217" t="s">
        <v>118</v>
      </c>
      <c r="I17" s="217" t="s">
        <v>177</v>
      </c>
      <c r="J17" s="217" t="s">
        <v>121</v>
      </c>
      <c r="K17" s="207"/>
      <c r="L17" s="207"/>
      <c r="M17" s="207"/>
      <c r="N17" s="207"/>
      <c r="O17" s="207"/>
    </row>
    <row r="18" spans="1:15" ht="104">
      <c r="A18" s="274" t="s">
        <v>143</v>
      </c>
      <c r="B18" s="259" t="s">
        <v>287</v>
      </c>
      <c r="C18" s="260" t="s">
        <v>207</v>
      </c>
      <c r="D18" s="261" t="s">
        <v>126</v>
      </c>
      <c r="E18" s="262" t="s">
        <v>126</v>
      </c>
      <c r="F18" s="263" t="s">
        <v>126</v>
      </c>
      <c r="G18" s="259" t="s">
        <v>293</v>
      </c>
      <c r="H18" s="259" t="s">
        <v>288</v>
      </c>
      <c r="I18" s="259" t="s">
        <v>448</v>
      </c>
      <c r="J18" s="261" t="s">
        <v>130</v>
      </c>
      <c r="K18" s="207"/>
      <c r="L18" s="207"/>
      <c r="M18" s="207"/>
      <c r="N18" s="207"/>
      <c r="O18" s="207"/>
    </row>
    <row r="19" spans="1:15" ht="105.75" customHeight="1">
      <c r="A19" s="274" t="s">
        <v>284</v>
      </c>
      <c r="B19" s="259" t="s">
        <v>290</v>
      </c>
      <c r="C19" s="260" t="s">
        <v>207</v>
      </c>
      <c r="D19" s="261" t="s">
        <v>126</v>
      </c>
      <c r="E19" s="262" t="s">
        <v>126</v>
      </c>
      <c r="F19" s="263" t="s">
        <v>126</v>
      </c>
      <c r="G19" s="259" t="s">
        <v>293</v>
      </c>
      <c r="H19" s="259" t="s">
        <v>291</v>
      </c>
      <c r="I19" s="259" t="s">
        <v>448</v>
      </c>
      <c r="J19" s="261" t="s">
        <v>130</v>
      </c>
    </row>
    <row r="20" spans="1:15" ht="130">
      <c r="A20" s="274" t="s">
        <v>285</v>
      </c>
      <c r="B20" s="275" t="s">
        <v>294</v>
      </c>
      <c r="C20" s="260" t="s">
        <v>207</v>
      </c>
      <c r="D20" s="261" t="s">
        <v>125</v>
      </c>
      <c r="E20" s="261" t="s">
        <v>125</v>
      </c>
      <c r="F20" s="263" t="s">
        <v>125</v>
      </c>
      <c r="G20" s="259" t="s">
        <v>295</v>
      </c>
      <c r="H20" s="259" t="s">
        <v>208</v>
      </c>
      <c r="I20" s="259" t="s">
        <v>448</v>
      </c>
      <c r="J20" s="261" t="s">
        <v>130</v>
      </c>
    </row>
    <row r="21" spans="1:15" ht="78">
      <c r="A21" s="274" t="s">
        <v>286</v>
      </c>
      <c r="B21" s="275" t="s">
        <v>292</v>
      </c>
      <c r="C21" s="260" t="s">
        <v>207</v>
      </c>
      <c r="D21" s="261" t="s">
        <v>125</v>
      </c>
      <c r="E21" s="262" t="s">
        <v>126</v>
      </c>
      <c r="F21" s="263" t="s">
        <v>126</v>
      </c>
      <c r="G21" s="259" t="s">
        <v>293</v>
      </c>
      <c r="H21" s="259" t="s">
        <v>296</v>
      </c>
      <c r="I21" s="259" t="s">
        <v>448</v>
      </c>
      <c r="J21" s="261" t="s">
        <v>130</v>
      </c>
    </row>
  </sheetData>
  <mergeCells count="6">
    <mergeCell ref="A16:O16"/>
    <mergeCell ref="A1:O1"/>
    <mergeCell ref="A3:D3"/>
    <mergeCell ref="E3:H3"/>
    <mergeCell ref="I3:L3"/>
    <mergeCell ref="A5:O5"/>
  </mergeCells>
  <phoneticPr fontId="140"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22"/>
  <sheetViews>
    <sheetView workbookViewId="0">
      <selection activeCell="D9" sqref="D9"/>
    </sheetView>
  </sheetViews>
  <sheetFormatPr defaultColWidth="12.6328125" defaultRowHeight="14.5"/>
  <cols>
    <col min="1" max="1" width="2.453125" style="300" customWidth="1"/>
    <col min="2" max="2" width="5.1796875" style="300" customWidth="1"/>
    <col min="3" max="3" width="12.453125" style="300" customWidth="1"/>
    <col min="4" max="4" width="25.6328125" style="300" customWidth="1"/>
    <col min="5" max="5" width="45" style="300" customWidth="1"/>
    <col min="6" max="6" width="30.1796875" style="300" customWidth="1"/>
    <col min="7" max="7" width="9.81640625" style="300" customWidth="1"/>
    <col min="8" max="8" width="34.08984375" style="300" customWidth="1"/>
    <col min="9" max="9" width="8" style="300" customWidth="1"/>
    <col min="10" max="10" width="33.6328125" style="300" customWidth="1"/>
    <col min="11" max="16" width="8" style="300" customWidth="1"/>
    <col min="17" max="26" width="12.6328125" style="300"/>
  </cols>
  <sheetData>
    <row r="1" spans="1:16" ht="6" customHeight="1">
      <c r="A1" s="30"/>
      <c r="B1" s="30"/>
      <c r="C1" s="30"/>
      <c r="D1" s="30"/>
      <c r="E1" s="30"/>
      <c r="F1" s="30"/>
      <c r="G1" s="30"/>
      <c r="H1" s="30"/>
      <c r="I1" s="30"/>
      <c r="J1" s="30"/>
      <c r="K1" s="30"/>
      <c r="L1" s="30"/>
      <c r="M1" s="30"/>
      <c r="N1" s="30"/>
      <c r="O1" s="30"/>
      <c r="P1" s="30"/>
    </row>
    <row r="2" spans="1:16" ht="39" customHeight="1">
      <c r="A2" s="30"/>
      <c r="B2" s="350" t="s">
        <v>455</v>
      </c>
      <c r="C2" s="359"/>
      <c r="D2" s="359"/>
      <c r="E2" s="359"/>
      <c r="F2" s="359"/>
      <c r="G2" s="359"/>
      <c r="H2" s="359"/>
      <c r="I2" s="359"/>
      <c r="J2" s="359"/>
      <c r="K2" s="359"/>
      <c r="L2" s="359"/>
      <c r="M2" s="359"/>
      <c r="N2" s="359"/>
      <c r="O2" s="359"/>
      <c r="P2" s="359"/>
    </row>
    <row r="3" spans="1:16" ht="7.5" customHeight="1">
      <c r="A3" s="30"/>
      <c r="B3" s="30"/>
      <c r="C3" s="30"/>
      <c r="D3" s="30"/>
      <c r="E3" s="30"/>
      <c r="F3" s="30"/>
      <c r="G3" s="30"/>
      <c r="H3" s="30"/>
      <c r="I3" s="30"/>
      <c r="J3" s="30"/>
      <c r="K3" s="30"/>
      <c r="L3" s="30"/>
      <c r="M3" s="30"/>
      <c r="N3" s="30"/>
      <c r="O3" s="30"/>
      <c r="P3" s="30"/>
    </row>
    <row r="4" spans="1:16" ht="21" customHeight="1">
      <c r="A4" s="30"/>
      <c r="B4" s="343" t="s">
        <v>463</v>
      </c>
      <c r="C4" s="360"/>
      <c r="D4" s="360"/>
      <c r="E4" s="360"/>
      <c r="F4" s="352" t="s">
        <v>456</v>
      </c>
      <c r="G4" s="361"/>
      <c r="H4" s="361"/>
      <c r="I4" s="361"/>
      <c r="J4" s="352" t="s">
        <v>457</v>
      </c>
      <c r="K4" s="361"/>
      <c r="L4" s="361"/>
      <c r="M4" s="361"/>
      <c r="N4" s="347" t="s">
        <v>148</v>
      </c>
      <c r="O4" s="361"/>
      <c r="P4" s="361"/>
    </row>
    <row r="5" spans="1:16" ht="15" customHeight="1">
      <c r="A5" s="30"/>
      <c r="B5" s="30"/>
      <c r="C5" s="30"/>
      <c r="D5" s="30"/>
      <c r="E5" s="30"/>
      <c r="F5" s="30"/>
      <c r="G5" s="30"/>
      <c r="H5" s="30"/>
      <c r="I5" s="30"/>
      <c r="J5" s="30"/>
      <c r="K5" s="30"/>
      <c r="L5" s="30"/>
      <c r="M5" s="30"/>
      <c r="N5" s="30"/>
      <c r="O5" s="30"/>
      <c r="P5" s="30"/>
    </row>
    <row r="6" spans="1:16" ht="27" customHeight="1">
      <c r="A6" s="30"/>
      <c r="B6" s="348" t="s">
        <v>440</v>
      </c>
      <c r="C6" s="359"/>
      <c r="D6" s="359"/>
      <c r="E6" s="359"/>
      <c r="F6" s="359"/>
      <c r="G6" s="359"/>
      <c r="H6" s="359"/>
      <c r="I6" s="359"/>
      <c r="J6" s="359"/>
      <c r="K6" s="359"/>
      <c r="L6" s="359"/>
      <c r="M6" s="359"/>
      <c r="N6" s="359"/>
      <c r="O6" s="359"/>
      <c r="P6" s="359"/>
    </row>
    <row r="7" spans="1:16">
      <c r="A7" s="30"/>
      <c r="B7" s="38" t="s">
        <v>49</v>
      </c>
      <c r="C7" s="39" t="s">
        <v>50</v>
      </c>
      <c r="D7" s="39" t="s">
        <v>149</v>
      </c>
      <c r="E7" s="39" t="s">
        <v>150</v>
      </c>
      <c r="F7" s="40" t="s">
        <v>441</v>
      </c>
      <c r="G7" s="40" t="s">
        <v>368</v>
      </c>
      <c r="H7" s="40" t="s">
        <v>442</v>
      </c>
      <c r="I7" s="40" t="s">
        <v>370</v>
      </c>
      <c r="J7" s="40" t="s">
        <v>443</v>
      </c>
      <c r="K7" s="40" t="s">
        <v>372</v>
      </c>
      <c r="L7" s="39" t="s">
        <v>151</v>
      </c>
      <c r="M7" s="39" t="s">
        <v>152</v>
      </c>
      <c r="N7" s="39" t="s">
        <v>55</v>
      </c>
      <c r="O7" s="39" t="s">
        <v>153</v>
      </c>
      <c r="P7" s="39" t="s">
        <v>59</v>
      </c>
    </row>
    <row r="8" spans="1:16" ht="101.25" customHeight="1">
      <c r="A8" s="30"/>
      <c r="B8" s="218">
        <v>1</v>
      </c>
      <c r="C8" s="219" t="s">
        <v>157</v>
      </c>
      <c r="D8" s="220" t="s">
        <v>251</v>
      </c>
      <c r="E8" s="220" t="s">
        <v>252</v>
      </c>
      <c r="F8" s="220" t="s">
        <v>253</v>
      </c>
      <c r="G8" s="199"/>
      <c r="H8" s="220" t="s">
        <v>254</v>
      </c>
      <c r="I8" s="199"/>
      <c r="J8" s="220" t="s">
        <v>255</v>
      </c>
      <c r="K8" s="221"/>
      <c r="L8" s="222"/>
      <c r="M8" s="221"/>
      <c r="N8" s="222"/>
      <c r="O8" s="222"/>
      <c r="P8" s="222"/>
    </row>
    <row r="9" spans="1:16" s="299" customFormat="1" ht="48.75" customHeight="1">
      <c r="A9" s="223"/>
      <c r="B9" s="192">
        <v>2</v>
      </c>
      <c r="C9" s="224" t="s">
        <v>157</v>
      </c>
      <c r="D9" s="225" t="s">
        <v>256</v>
      </c>
      <c r="E9" s="226" t="s">
        <v>257</v>
      </c>
      <c r="F9" s="227" t="s">
        <v>185</v>
      </c>
      <c r="G9" s="54"/>
      <c r="H9" s="227" t="s">
        <v>185</v>
      </c>
      <c r="I9" s="54"/>
      <c r="J9" s="227" t="s">
        <v>185</v>
      </c>
      <c r="K9" s="221"/>
      <c r="L9" s="222"/>
      <c r="M9" s="221"/>
      <c r="N9" s="222"/>
      <c r="O9" s="222"/>
      <c r="P9" s="222"/>
    </row>
    <row r="10" spans="1:16" ht="42.75" customHeight="1">
      <c r="A10" s="30"/>
      <c r="B10" s="192">
        <v>3</v>
      </c>
      <c r="C10" s="224" t="s">
        <v>258</v>
      </c>
      <c r="D10" s="225" t="s">
        <v>259</v>
      </c>
      <c r="E10" s="226" t="s">
        <v>260</v>
      </c>
      <c r="F10" s="226" t="s">
        <v>260</v>
      </c>
      <c r="G10" s="54"/>
      <c r="H10" s="50" t="s">
        <v>185</v>
      </c>
      <c r="I10" s="54"/>
      <c r="J10" s="50" t="s">
        <v>185</v>
      </c>
      <c r="K10" s="221"/>
      <c r="L10" s="222"/>
      <c r="M10" s="221"/>
      <c r="N10" s="222"/>
      <c r="O10" s="222"/>
      <c r="P10" s="222"/>
    </row>
    <row r="11" spans="1:16" ht="41.25" customHeight="1">
      <c r="A11" s="30"/>
      <c r="B11" s="218">
        <v>4</v>
      </c>
      <c r="C11" s="228" t="s">
        <v>161</v>
      </c>
      <c r="D11" s="220" t="s">
        <v>261</v>
      </c>
      <c r="E11" s="220" t="s">
        <v>262</v>
      </c>
      <c r="F11" s="229" t="s">
        <v>458</v>
      </c>
      <c r="G11" s="199"/>
      <c r="H11" s="229" t="s">
        <v>459</v>
      </c>
      <c r="I11" s="199"/>
      <c r="J11" s="200" t="s">
        <v>185</v>
      </c>
      <c r="K11" s="221"/>
      <c r="L11" s="222"/>
      <c r="M11" s="221"/>
      <c r="N11" s="222"/>
      <c r="O11" s="222"/>
      <c r="P11" s="222"/>
    </row>
    <row r="12" spans="1:16" ht="53.25" customHeight="1">
      <c r="A12" s="30"/>
      <c r="B12" s="218">
        <v>5</v>
      </c>
      <c r="C12" s="228" t="s">
        <v>263</v>
      </c>
      <c r="D12" s="229" t="s">
        <v>264</v>
      </c>
      <c r="E12" s="229" t="s">
        <v>265</v>
      </c>
      <c r="F12" s="200" t="s">
        <v>185</v>
      </c>
      <c r="G12" s="199"/>
      <c r="H12" s="200" t="s">
        <v>185</v>
      </c>
      <c r="I12" s="199"/>
      <c r="J12" s="200" t="s">
        <v>185</v>
      </c>
      <c r="K12" s="221"/>
      <c r="L12" s="222"/>
      <c r="M12" s="221"/>
      <c r="N12" s="222"/>
      <c r="O12" s="222"/>
      <c r="P12" s="222"/>
    </row>
    <row r="13" spans="1:16" ht="46.5" customHeight="1">
      <c r="A13" s="30"/>
      <c r="B13" s="192">
        <v>6</v>
      </c>
      <c r="C13" s="224" t="s">
        <v>171</v>
      </c>
      <c r="D13" s="226" t="s">
        <v>266</v>
      </c>
      <c r="E13" s="225" t="s">
        <v>267</v>
      </c>
      <c r="F13" s="200" t="s">
        <v>185</v>
      </c>
      <c r="G13" s="199"/>
      <c r="H13" s="200" t="s">
        <v>185</v>
      </c>
      <c r="I13" s="199"/>
      <c r="J13" s="200" t="s">
        <v>185</v>
      </c>
      <c r="K13" s="221"/>
      <c r="L13" s="222"/>
      <c r="M13" s="221"/>
      <c r="N13" s="222"/>
      <c r="O13" s="222"/>
      <c r="P13" s="222"/>
    </row>
    <row r="14" spans="1:16" ht="51.75" customHeight="1">
      <c r="A14" s="30"/>
      <c r="B14" s="192">
        <v>7</v>
      </c>
      <c r="C14" s="224" t="s">
        <v>179</v>
      </c>
      <c r="D14" s="226" t="s">
        <v>268</v>
      </c>
      <c r="E14" s="225" t="s">
        <v>269</v>
      </c>
      <c r="F14" s="50" t="s">
        <v>185</v>
      </c>
      <c r="G14" s="54"/>
      <c r="H14" s="50" t="s">
        <v>185</v>
      </c>
      <c r="I14" s="54"/>
      <c r="J14" s="50" t="s">
        <v>185</v>
      </c>
      <c r="K14" s="221"/>
      <c r="L14" s="222"/>
      <c r="M14" s="221"/>
      <c r="N14" s="222"/>
      <c r="O14" s="222"/>
      <c r="P14" s="222"/>
    </row>
    <row r="15" spans="1:16" ht="47.25" customHeight="1">
      <c r="A15" s="30"/>
      <c r="B15" s="230">
        <v>8</v>
      </c>
      <c r="C15" s="231" t="s">
        <v>19</v>
      </c>
      <c r="D15" s="232" t="s">
        <v>270</v>
      </c>
      <c r="E15" s="232" t="s">
        <v>271</v>
      </c>
      <c r="F15" s="233" t="s">
        <v>185</v>
      </c>
      <c r="G15" s="234"/>
      <c r="H15" s="233" t="s">
        <v>185</v>
      </c>
      <c r="I15" s="234"/>
      <c r="J15" s="233" t="s">
        <v>271</v>
      </c>
      <c r="K15" s="235"/>
      <c r="L15" s="235"/>
      <c r="M15" s="235"/>
      <c r="N15" s="235"/>
      <c r="O15" s="235"/>
      <c r="P15" s="235"/>
    </row>
    <row r="16" spans="1:16" ht="4.5" customHeight="1">
      <c r="A16" s="168"/>
      <c r="B16" s="236"/>
      <c r="C16" s="237"/>
      <c r="D16" s="238"/>
      <c r="E16" s="238"/>
      <c r="F16" s="239"/>
      <c r="G16" s="240"/>
      <c r="H16" s="239"/>
      <c r="I16" s="240"/>
      <c r="J16" s="239"/>
      <c r="K16" s="168"/>
      <c r="L16" s="168"/>
      <c r="M16" s="168"/>
      <c r="N16" s="168"/>
      <c r="O16" s="168"/>
      <c r="P16" s="168"/>
    </row>
    <row r="17" spans="1:16" ht="27" customHeight="1">
      <c r="A17" s="30"/>
      <c r="B17" s="328" t="s">
        <v>447</v>
      </c>
      <c r="C17" s="359"/>
      <c r="D17" s="359"/>
      <c r="E17" s="359"/>
      <c r="F17" s="359"/>
      <c r="G17" s="359"/>
      <c r="H17" s="359"/>
      <c r="I17" s="359"/>
      <c r="J17" s="359"/>
      <c r="K17" s="359"/>
      <c r="L17" s="359"/>
      <c r="M17" s="359"/>
      <c r="N17" s="359"/>
      <c r="O17" s="359"/>
      <c r="P17" s="359"/>
    </row>
    <row r="18" spans="1:16" ht="23">
      <c r="A18" s="30"/>
      <c r="B18" s="36" t="s">
        <v>111</v>
      </c>
      <c r="C18" s="73" t="s">
        <v>112</v>
      </c>
      <c r="D18" s="73" t="s">
        <v>113</v>
      </c>
      <c r="E18" s="73" t="s">
        <v>174</v>
      </c>
      <c r="F18" s="73" t="s">
        <v>175</v>
      </c>
      <c r="G18" s="73" t="s">
        <v>176</v>
      </c>
      <c r="H18" s="73" t="s">
        <v>117</v>
      </c>
      <c r="I18" s="73" t="s">
        <v>118</v>
      </c>
      <c r="J18" s="73" t="s">
        <v>177</v>
      </c>
      <c r="K18" s="73" t="s">
        <v>121</v>
      </c>
      <c r="L18" s="30"/>
      <c r="M18" s="30"/>
      <c r="N18" s="30"/>
      <c r="O18" s="30"/>
      <c r="P18" s="30"/>
    </row>
    <row r="19" spans="1:16" ht="70.5" customHeight="1">
      <c r="A19" s="30"/>
      <c r="B19" s="177" t="s">
        <v>122</v>
      </c>
      <c r="C19" s="241" t="s">
        <v>209</v>
      </c>
      <c r="D19" s="242" t="s">
        <v>449</v>
      </c>
      <c r="E19" s="243" t="s">
        <v>126</v>
      </c>
      <c r="F19" s="243" t="s">
        <v>126</v>
      </c>
      <c r="G19" s="244" t="s">
        <v>126</v>
      </c>
      <c r="H19" s="245" t="s">
        <v>210</v>
      </c>
      <c r="I19" s="246" t="s">
        <v>460</v>
      </c>
      <c r="J19" s="247" t="s">
        <v>450</v>
      </c>
      <c r="K19" s="248" t="s">
        <v>130</v>
      </c>
      <c r="L19" s="30"/>
      <c r="M19" s="30"/>
      <c r="N19" s="30"/>
      <c r="O19" s="30"/>
      <c r="P19" s="30"/>
    </row>
    <row r="20" spans="1:16" ht="70.5" customHeight="1">
      <c r="A20" s="30"/>
      <c r="B20" s="79" t="s">
        <v>131</v>
      </c>
      <c r="C20" s="225" t="s">
        <v>272</v>
      </c>
      <c r="D20" s="249" t="s">
        <v>461</v>
      </c>
      <c r="E20" s="180" t="s">
        <v>126</v>
      </c>
      <c r="F20" s="53" t="s">
        <v>126</v>
      </c>
      <c r="G20" s="203" t="s">
        <v>126</v>
      </c>
      <c r="H20" s="225" t="s">
        <v>273</v>
      </c>
      <c r="I20" s="225" t="s">
        <v>274</v>
      </c>
      <c r="J20" s="250" t="s">
        <v>207</v>
      </c>
      <c r="K20" s="251" t="s">
        <v>130</v>
      </c>
      <c r="L20" s="30"/>
      <c r="M20" s="30"/>
      <c r="N20" s="30"/>
      <c r="O20" s="30"/>
      <c r="P20" s="30"/>
    </row>
    <row r="21" spans="1:16" ht="33" customHeight="1">
      <c r="B21" s="252" t="s">
        <v>136</v>
      </c>
      <c r="C21" s="253" t="s">
        <v>275</v>
      </c>
      <c r="D21" s="254" t="s">
        <v>461</v>
      </c>
      <c r="E21" s="255" t="s">
        <v>126</v>
      </c>
      <c r="F21" s="256" t="s">
        <v>126</v>
      </c>
      <c r="G21" s="257" t="s">
        <v>126</v>
      </c>
      <c r="H21" s="253" t="s">
        <v>276</v>
      </c>
      <c r="I21" s="253" t="s">
        <v>274</v>
      </c>
      <c r="J21" s="258" t="s">
        <v>207</v>
      </c>
      <c r="K21" s="256" t="s">
        <v>130</v>
      </c>
    </row>
    <row r="22" spans="1:16" ht="44.25" customHeight="1">
      <c r="B22" s="252" t="s">
        <v>143</v>
      </c>
      <c r="C22" s="253" t="s">
        <v>277</v>
      </c>
      <c r="D22" s="254" t="s">
        <v>461</v>
      </c>
      <c r="E22" s="255" t="s">
        <v>139</v>
      </c>
      <c r="F22" s="256" t="s">
        <v>126</v>
      </c>
      <c r="G22" s="257" t="s">
        <v>126</v>
      </c>
      <c r="H22" s="253" t="s">
        <v>278</v>
      </c>
      <c r="I22" s="253" t="s">
        <v>274</v>
      </c>
      <c r="J22" s="258" t="s">
        <v>207</v>
      </c>
      <c r="K22" s="256" t="s">
        <v>130</v>
      </c>
    </row>
  </sheetData>
  <mergeCells count="7">
    <mergeCell ref="B17:P17"/>
    <mergeCell ref="B2:P2"/>
    <mergeCell ref="B4:E4"/>
    <mergeCell ref="F4:I4"/>
    <mergeCell ref="J4:M4"/>
    <mergeCell ref="N4:P4"/>
    <mergeCell ref="B6:P6"/>
  </mergeCells>
  <phoneticPr fontId="14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绩效考核评分表</vt:lpstr>
      <vt:lpstr>市场小组季度里程碑</vt:lpstr>
      <vt:lpstr>数字化建设组</vt:lpstr>
      <vt:lpstr>能源管理建设组</vt:lpstr>
      <vt:lpstr>制造业产品组</vt:lpstr>
      <vt:lpstr>平台建设组</vt:lpstr>
      <vt:lpstr>AI与数据资产组</vt:lpstr>
      <vt:lpstr>智能设备建设组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 l</cp:lastModifiedBy>
  <dcterms:created xsi:type="dcterms:W3CDTF">2026-07-08T15:33:39Z</dcterms:created>
  <dcterms:modified xsi:type="dcterms:W3CDTF">2026-07-13T08:27:52Z</dcterms:modified>
</cp:coreProperties>
</file>